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yadkhatab/Downloads/"/>
    </mc:Choice>
  </mc:AlternateContent>
  <xr:revisionPtr revIDLastSave="5" documentId="8_{8BB4601A-ADA1-4E2D-90A6-0052A9835451}" xr6:coauthVersionLast="47" xr6:coauthVersionMax="47" xr10:uidLastSave="{F43B9BB4-0C89-4243-B244-B7CDD06AB6F9}"/>
  <bookViews>
    <workbookView xWindow="28800" yWindow="0" windowWidth="51200" windowHeight="28800" firstSheet="1" activeTab="1" xr2:uid="{0D9A6B35-6681-A349-99C3-D494CCBEC99E}"/>
  </bookViews>
  <sheets>
    <sheet name="Sheet2" sheetId="5" r:id="rId1"/>
    <sheet name="Master List- Where YOLO TTIs " sheetId="3" r:id="rId2"/>
    <sheet name="Score Card" sheetId="4" r:id="rId3"/>
    <sheet name="Sheet1" sheetId="1" r:id="rId4"/>
    <sheet name="Read me" sheetId="2" r:id="rId5"/>
  </sheets>
  <definedNames>
    <definedName name="_xlnm._FilterDatabase" localSheetId="1" hidden="1">'Master List- Where YOLO TTIs '!$A$1:$L$1556</definedName>
  </definedNames>
  <calcPr calcId="191028"/>
  <pivotCaches>
    <pivotCache cacheId="13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4" l="1"/>
  <c r="D25" i="4"/>
  <c r="K48" i="4"/>
  <c r="K43" i="4"/>
  <c r="G48" i="4"/>
  <c r="G43" i="4"/>
  <c r="B69" i="4"/>
  <c r="B64" i="4"/>
  <c r="B49" i="4"/>
  <c r="B44" i="4"/>
  <c r="B37" i="4"/>
  <c r="B32" i="4"/>
  <c r="B73" i="4" l="1"/>
  <c r="B72" i="4"/>
  <c r="B51" i="4"/>
  <c r="B52" i="4" s="1"/>
  <c r="B53" i="4"/>
  <c r="C31" i="4"/>
  <c r="C30" i="4"/>
  <c r="C36" i="4"/>
  <c r="C35" i="4"/>
  <c r="C43" i="4"/>
  <c r="C42" i="4"/>
  <c r="C48" i="4"/>
  <c r="C47" i="4"/>
  <c r="C63" i="4"/>
  <c r="C62" i="4"/>
  <c r="C68" i="4"/>
  <c r="C67" i="4"/>
  <c r="H42" i="4"/>
  <c r="H41" i="4"/>
  <c r="H47" i="4"/>
  <c r="H46" i="4"/>
  <c r="L42" i="4"/>
  <c r="L41" i="4"/>
  <c r="L47" i="4"/>
  <c r="L46" i="4"/>
</calcChain>
</file>

<file path=xl/sharedStrings.xml><?xml version="1.0" encoding="utf-8"?>
<sst xmlns="http://schemas.openxmlformats.org/spreadsheetml/2006/main" count="16009" uniqueCount="205">
  <si>
    <t>Group</t>
  </si>
  <si>
    <t>Control</t>
  </si>
  <si>
    <t>개수 : Yolo TTI
0 = TN
1 = TP
2 = FN
3 = FP</t>
  </si>
  <si>
    <t>Yolo TTI
0 = TN
1 = TP
2 = FN
3 = FP</t>
  </si>
  <si>
    <t>Location of TTI
0 = no TTI (TN/FP)
1 = ALOS
2 = BLOS</t>
  </si>
  <si>
    <t>총합계</t>
  </si>
  <si>
    <t>Number</t>
  </si>
  <si>
    <t>Video Class (BDI/ Control = safe)</t>
  </si>
  <si>
    <t>Video Name</t>
  </si>
  <si>
    <t xml:space="preserve">TTI Frame Seccond File name </t>
  </si>
  <si>
    <t>Instrument number
1 - 4</t>
    <phoneticPr fontId="8" type="noConversion"/>
  </si>
  <si>
    <t>Yolo TTI
0 = TN
1 = TP
2 = FN
3 = FP</t>
    <phoneticPr fontId="8" type="noConversion"/>
  </si>
  <si>
    <t>Ground Truth Location of TTI
0 = no TTI (TN/FP)
1 = ALOS
2 = BLOS</t>
  </si>
  <si>
    <t>Comments</t>
  </si>
  <si>
    <t>Instument Type</t>
  </si>
  <si>
    <t>TTI interaction</t>
  </si>
  <si>
    <t>Side</t>
  </si>
  <si>
    <t xml:space="preserve">Control 1 </t>
  </si>
  <si>
    <t>LapChol Case 0001 03</t>
  </si>
  <si>
    <t>G</t>
  </si>
  <si>
    <t>RG</t>
  </si>
  <si>
    <t>Left</t>
  </si>
  <si>
    <t>Scissor</t>
  </si>
  <si>
    <t>Cut-Sharp dissection</t>
  </si>
  <si>
    <t>Right</t>
  </si>
  <si>
    <t>Control 1</t>
  </si>
  <si>
    <t>left</t>
  </si>
  <si>
    <t>Blunt dissection</t>
  </si>
  <si>
    <t>right</t>
  </si>
  <si>
    <t>cut-sharp dissection</t>
  </si>
  <si>
    <t>Harmonic</t>
  </si>
  <si>
    <t>Energy-sharp dissection</t>
  </si>
  <si>
    <t>harmonic</t>
  </si>
  <si>
    <t>other</t>
  </si>
  <si>
    <t>Other</t>
  </si>
  <si>
    <t>dissector</t>
  </si>
  <si>
    <t>blunt dissection</t>
  </si>
  <si>
    <t>energy-sharp dissection</t>
  </si>
  <si>
    <t>Dissector</t>
  </si>
  <si>
    <t xml:space="preserve">right </t>
  </si>
  <si>
    <t>scissor</t>
  </si>
  <si>
    <t>LapChol Case 0001 04</t>
  </si>
  <si>
    <t>G2</t>
  </si>
  <si>
    <t>not target</t>
  </si>
  <si>
    <t>LapChol Case 0001 05</t>
  </si>
  <si>
    <t>\</t>
  </si>
  <si>
    <t>none</t>
  </si>
  <si>
    <t>suction</t>
  </si>
  <si>
    <t>Control 2</t>
  </si>
  <si>
    <t>LapChol Case 0002 02</t>
  </si>
  <si>
    <t>?</t>
  </si>
  <si>
    <t>not a target</t>
    <phoneticPr fontId="6" type="noConversion"/>
  </si>
  <si>
    <t>cautery</t>
  </si>
  <si>
    <t>Cautery</t>
  </si>
  <si>
    <t xml:space="preserve">energy-sharp dissection </t>
  </si>
  <si>
    <t>LapChol Case 0002 03</t>
  </si>
  <si>
    <t>not a target</t>
  </si>
  <si>
    <t>Suction</t>
  </si>
  <si>
    <t xml:space="preserve">left </t>
  </si>
  <si>
    <t>Control 4</t>
  </si>
  <si>
    <t>LapChol Case 0007 01</t>
  </si>
  <si>
    <t>LapChol Case 0007 02</t>
  </si>
  <si>
    <t>LapChol Case 0007 03</t>
  </si>
  <si>
    <t>not clear</t>
  </si>
  <si>
    <t>Control 6</t>
  </si>
  <si>
    <t>LapChol Case 0011 02</t>
  </si>
  <si>
    <t>LapChol Case 0011 03</t>
  </si>
  <si>
    <t>LapChol Case 0012 03</t>
  </si>
  <si>
    <t>Control 7</t>
  </si>
  <si>
    <t>LapChol Case 0012 04</t>
  </si>
  <si>
    <t>hidden</t>
  </si>
  <si>
    <t>Control 8</t>
  </si>
  <si>
    <t>LapChol Case 0015 01</t>
  </si>
  <si>
    <t>unclear LOS (zoomed in)</t>
  </si>
  <si>
    <t>smoke</t>
  </si>
  <si>
    <t>instrument type not clear</t>
  </si>
  <si>
    <t>partial view</t>
  </si>
  <si>
    <t>LapChol Case 0015 02</t>
  </si>
  <si>
    <t>instrument tip unclear</t>
  </si>
  <si>
    <t>Right on LOS</t>
  </si>
  <si>
    <t>LapChol Case 0016 01</t>
  </si>
  <si>
    <t>Control 9</t>
  </si>
  <si>
    <t>Control 10</t>
  </si>
  <si>
    <t>LapChol Case 0018 10</t>
  </si>
  <si>
    <t>LapChol Case 0018 11</t>
  </si>
  <si>
    <t>blurry</t>
  </si>
  <si>
    <t>disector</t>
  </si>
  <si>
    <t>LapChol Case 0019 02</t>
  </si>
  <si>
    <t>Control 11</t>
  </si>
  <si>
    <t>LapChol Case 0019 03</t>
  </si>
  <si>
    <t>Control 12</t>
  </si>
  <si>
    <t>LapChol Case 0020 02</t>
  </si>
  <si>
    <t>LapChol Case 0020 03</t>
  </si>
  <si>
    <t>Control 13</t>
  </si>
  <si>
    <t>LapChol Case 0023 03</t>
  </si>
  <si>
    <t xml:space="preserve"> not a target</t>
  </si>
  <si>
    <t>LapChol Case 0023 04</t>
  </si>
  <si>
    <t>clip</t>
  </si>
  <si>
    <t>V10-Trimmed</t>
  </si>
  <si>
    <t>BDI</t>
  </si>
  <si>
    <t>BDI Video</t>
  </si>
  <si>
    <t>peanut</t>
  </si>
  <si>
    <t>TBRHS</t>
  </si>
  <si>
    <t>Peanut</t>
  </si>
  <si>
    <t>unclear (Zoomed in)</t>
  </si>
  <si>
    <t>Clip</t>
  </si>
  <si>
    <t>unknown tool</t>
  </si>
  <si>
    <t>v11-Trimmed</t>
  </si>
  <si>
    <t>energy sharp dissection</t>
  </si>
  <si>
    <t>V12-Trimmed</t>
  </si>
  <si>
    <t>on LOS</t>
  </si>
  <si>
    <t xml:space="preserve">dissector </t>
  </si>
  <si>
    <t>V14-Trimmed</t>
  </si>
  <si>
    <t>unknown</t>
  </si>
  <si>
    <t>V15-Trimmed</t>
  </si>
  <si>
    <t>V17-Trimmed</t>
  </si>
  <si>
    <t>unclear</t>
  </si>
  <si>
    <t>V18-Trimmed</t>
  </si>
  <si>
    <t>BDI Video</t>
    <phoneticPr fontId="8" type="noConversion"/>
  </si>
  <si>
    <t>V2-Trimmed</t>
  </si>
  <si>
    <t xml:space="preserve">Bipolar </t>
  </si>
  <si>
    <t>Bipolar</t>
  </si>
  <si>
    <t>Cut-sharp dissection</t>
  </si>
  <si>
    <t>unclear (zoomed in)</t>
  </si>
  <si>
    <t>V4-Trimmed</t>
  </si>
  <si>
    <t>V5-Trimmed</t>
  </si>
  <si>
    <t>V7- Trimmed</t>
  </si>
  <si>
    <t xml:space="preserve">G2 </t>
  </si>
  <si>
    <t>grasper</t>
  </si>
  <si>
    <t>retract-grab</t>
  </si>
  <si>
    <t>not a target (outside the body)</t>
  </si>
  <si>
    <t>floating</t>
  </si>
  <si>
    <t>ligasure</t>
  </si>
  <si>
    <t>floating outside zone of interest</t>
  </si>
  <si>
    <t>LOS on the line</t>
  </si>
  <si>
    <t>22 Videos (11 BDI+ 11 Safe Videos)</t>
  </si>
  <si>
    <t>To calculate Total number of frames Count instrument 1</t>
  </si>
  <si>
    <t>xx Total TTI Frames</t>
  </si>
  <si>
    <t>To calculate total number of TTI: It is the whole column of instrument number -1 for the column heading</t>
  </si>
  <si>
    <t>1445-1 = 1444</t>
  </si>
  <si>
    <t># of TTI ALOS</t>
  </si>
  <si>
    <t xml:space="preserve">BLOS+ ALOS+# of no TTI should equal the total number of TTI Frames </t>
  </si>
  <si>
    <t># of TTI BLOS</t>
  </si>
  <si>
    <t># of no TTI</t>
  </si>
  <si>
    <t>Accuracy of TTI Model</t>
  </si>
  <si>
    <t>TP</t>
  </si>
  <si>
    <t>FP</t>
  </si>
  <si>
    <t>Sensitivity</t>
  </si>
  <si>
    <t>FN</t>
  </si>
  <si>
    <t>TN</t>
  </si>
  <si>
    <t>Specificity</t>
  </si>
  <si>
    <t>Comparison between BDI and Safe Videos</t>
  </si>
  <si>
    <t>Hypothesis: More TTIs in BLOS for BDI</t>
  </si>
  <si>
    <t>BDI Dataset</t>
  </si>
  <si>
    <t>BLOS</t>
  </si>
  <si>
    <t>TP= 792</t>
  </si>
  <si>
    <t>FP= 101</t>
  </si>
  <si>
    <t>Instrument Type</t>
  </si>
  <si>
    <t>FN= 381</t>
  </si>
  <si>
    <t>TN= 143</t>
  </si>
  <si>
    <t>Interaction Type</t>
  </si>
  <si>
    <t>Whole cohort</t>
  </si>
  <si>
    <t>792 + 381 = 1173</t>
  </si>
  <si>
    <t>792/1173 = detection rate</t>
  </si>
  <si>
    <t>ALOS</t>
  </si>
  <si>
    <t>percentage</t>
  </si>
  <si>
    <t>detection rate</t>
  </si>
  <si>
    <t>Total</t>
  </si>
  <si>
    <t>ground truth</t>
  </si>
  <si>
    <t>model detection</t>
  </si>
  <si>
    <t>BDI cohort</t>
  </si>
  <si>
    <t>N of ALOS</t>
  </si>
  <si>
    <t>N of BLOS</t>
  </si>
  <si>
    <t>total</t>
  </si>
  <si>
    <t>Total number of TTI GT</t>
  </si>
  <si>
    <t>TTI in ALOS %</t>
  </si>
  <si>
    <t>TTI in BLOS %</t>
  </si>
  <si>
    <t>Control cohort</t>
  </si>
  <si>
    <t xml:space="preserve">ZIYAD SCORE CARD </t>
  </si>
  <si>
    <t> </t>
  </si>
  <si>
    <t>Total number of rows= 1555</t>
  </si>
  <si>
    <t>1472-1</t>
  </si>
  <si>
    <t>Removed 9 TBRHS from analysis= 1546</t>
  </si>
  <si>
    <r>
      <t>Removed 74 not target frames=</t>
    </r>
    <r>
      <rPr>
        <b/>
        <sz val="12"/>
        <color rgb="FF000000"/>
        <rFont val="Calibri"/>
        <family val="2"/>
      </rPr>
      <t xml:space="preserve"> 1472 Frames</t>
    </r>
  </si>
  <si>
    <t>824+391= 1215</t>
  </si>
  <si>
    <t>824/1215 = detection rate</t>
  </si>
  <si>
    <t>Go Zone
0 = TN
1 = TP
2 = FN
3 = FP</t>
    <phoneticPr fontId="6" type="noConversion"/>
  </si>
  <si>
    <t>No Go Zone
0 = TN
1 = TP
2 = FN
3 = FP</t>
    <phoneticPr fontId="6" type="noConversion"/>
  </si>
  <si>
    <t>Instrument type</t>
  </si>
  <si>
    <t>Right hand/ left hand</t>
  </si>
  <si>
    <t>Interaction Type (to be populated by Ziyad)</t>
  </si>
  <si>
    <t>V11-Trimmed</t>
  </si>
  <si>
    <t>Frame x</t>
  </si>
  <si>
    <t>READ ME</t>
  </si>
  <si>
    <t xml:space="preserve">Definition: </t>
  </si>
  <si>
    <t>Instrument number is how many boxes were detected per frame (</t>
  </si>
  <si>
    <t xml:space="preserve">An example of a TTI predicted in the wrong place, classified as two instruments </t>
  </si>
  <si>
    <t>not a target is when the frame is hard to predict what is in it, or when the GNG is not useful</t>
  </si>
  <si>
    <t>False positive if cautery is interacting with gauze</t>
  </si>
  <si>
    <t>11 Safe cases, 11 BDI cases</t>
  </si>
  <si>
    <t>11 control patients</t>
  </si>
  <si>
    <t xml:space="preserve"> </t>
  </si>
  <si>
    <t xml:space="preserve">Case 0001 is referring to the unique patient </t>
  </si>
  <si>
    <t>03 is the tower subset</t>
  </si>
  <si>
    <r>
      <t>The Case 1 in Control 1 (</t>
    </r>
    <r>
      <rPr>
        <b/>
        <sz val="12"/>
        <color theme="1"/>
        <rFont val="Calibri"/>
        <family val="2"/>
        <scheme val="minor"/>
      </rPr>
      <t>Case 1) an identifer for uzair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</si>
</sst>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72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7" fillId="0" borderId="0" xfId="0" applyFont="1"/>
    <xf numFmtId="0" fontId="1" fillId="3" borderId="0" xfId="0" applyFont="1" applyFill="1"/>
    <xf numFmtId="0" fontId="0" fillId="3" borderId="0" xfId="0" applyFill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4" borderId="0" xfId="0" applyFill="1"/>
    <xf numFmtId="0" fontId="0" fillId="0" borderId="0" xfId="0" pivotButton="1"/>
    <xf numFmtId="0" fontId="0" fillId="5" borderId="0" xfId="0" applyFill="1"/>
    <xf numFmtId="0" fontId="0" fillId="6" borderId="0" xfId="0" applyFill="1"/>
    <xf numFmtId="0" fontId="9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3" xfId="0" applyFont="1" applyBorder="1"/>
    <xf numFmtId="0" fontId="10" fillId="0" borderId="4" xfId="0" applyFont="1" applyBorder="1"/>
    <xf numFmtId="0" fontId="10" fillId="7" borderId="0" xfId="0" applyFont="1" applyFill="1" applyAlignment="1">
      <alignment wrapText="1"/>
    </xf>
    <xf numFmtId="0" fontId="10" fillId="7" borderId="0" xfId="0" applyFont="1" applyFill="1"/>
    <xf numFmtId="0" fontId="10" fillId="8" borderId="0" xfId="0" applyFont="1" applyFill="1"/>
    <xf numFmtId="0" fontId="10" fillId="9" borderId="0" xfId="0" applyFont="1" applyFill="1"/>
    <xf numFmtId="0" fontId="12" fillId="0" borderId="0" xfId="0" applyFont="1"/>
    <xf numFmtId="0" fontId="2" fillId="10" borderId="0" xfId="0" applyFont="1" applyFill="1" applyAlignment="1">
      <alignment wrapText="1"/>
    </xf>
    <xf numFmtId="0" fontId="0" fillId="10" borderId="0" xfId="0" applyFill="1"/>
    <xf numFmtId="0" fontId="7" fillId="10" borderId="0" xfId="0" applyFont="1" applyFill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6.645232754629" createdVersion="8" refreshedVersion="8" minRefreshableVersion="3" recordCount="1514" xr:uid="{9724CA2D-3A13-4CD0-A699-1E99EDC5EDE2}">
  <cacheSource type="worksheet">
    <worksheetSource ref="A1:L1556" sheet="Master List- Where YOLO TTIs "/>
  </cacheSource>
  <cacheFields count="12">
    <cacheField name="Number" numFmtId="0">
      <sharedItems containsNonDate="0" containsString="0" containsBlank="1"/>
    </cacheField>
    <cacheField name="Group" numFmtId="0">
      <sharedItems count="2">
        <s v="BDI"/>
        <s v="Control"/>
      </sharedItems>
    </cacheField>
    <cacheField name="Video Class (BDI/ Control = safe)" numFmtId="0">
      <sharedItems containsBlank="1"/>
    </cacheField>
    <cacheField name="Video Name" numFmtId="0">
      <sharedItems containsBlank="1"/>
    </cacheField>
    <cacheField name="TTI Frame Seccond File name " numFmtId="0">
      <sharedItems containsString="0" containsBlank="1" containsNumber="1" containsInteger="1" minValue="0" maxValue="3980"/>
    </cacheField>
    <cacheField name="Instrument number_x000a_1 - 4" numFmtId="0">
      <sharedItems containsSemiMixedTypes="0" containsString="0" containsNumber="1" containsInteger="1" minValue="1" maxValue="4"/>
    </cacheField>
    <cacheField name="Yolo TTI_x000a_0 = TN_x000a_1 = TP_x000a_2 = FN_x000a_3 = FP" numFmtId="0">
      <sharedItems containsMixedTypes="1" containsNumber="1" containsInteger="1" minValue="0" maxValue="3" count="5">
        <s v="?"/>
        <n v="1"/>
        <n v="2"/>
        <n v="0"/>
        <n v="3"/>
      </sharedItems>
    </cacheField>
    <cacheField name="Location of TTI_x000a_0 = no TTI (TN/FP)_x000a_1 = ALOS_x000a_2 = BLOS" numFmtId="0">
      <sharedItems containsBlank="1" containsMixedTypes="1" containsNumber="1" containsInteger="1" minValue="0" maxValue="2" count="5">
        <m/>
        <n v="2"/>
        <n v="0"/>
        <n v="1"/>
        <s v="?"/>
      </sharedItems>
    </cacheField>
    <cacheField name="Comments" numFmtId="0">
      <sharedItems containsBlank="1"/>
    </cacheField>
    <cacheField name="Instument Type" numFmtId="0">
      <sharedItems containsBlank="1"/>
    </cacheField>
    <cacheField name="TTI interaction" numFmtId="0">
      <sharedItems containsBlank="1"/>
    </cacheField>
    <cacheField name="Si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4">
  <r>
    <m/>
    <x v="0"/>
    <s v="BDI Video"/>
    <s v="V2-Trimmed"/>
    <n v="0"/>
    <n v="1"/>
    <x v="0"/>
    <x v="0"/>
    <s v="not a target"/>
    <m/>
    <m/>
    <m/>
  </r>
  <r>
    <m/>
    <x v="0"/>
    <s v="BDI Video"/>
    <s v="V2-Trimmed"/>
    <n v="10"/>
    <n v="1"/>
    <x v="0"/>
    <x v="0"/>
    <s v="not a target"/>
    <m/>
    <m/>
    <m/>
  </r>
  <r>
    <m/>
    <x v="0"/>
    <s v="BDI Video"/>
    <s v="V2-Trimmed"/>
    <n v="20"/>
    <n v="1"/>
    <x v="0"/>
    <x v="0"/>
    <s v="not a target"/>
    <m/>
    <m/>
    <m/>
  </r>
  <r>
    <m/>
    <x v="0"/>
    <s v="BDI Video"/>
    <s v="V2-Trimmed"/>
    <n v="60"/>
    <n v="1"/>
    <x v="1"/>
    <x v="1"/>
    <m/>
    <m/>
    <m/>
    <m/>
  </r>
  <r>
    <m/>
    <x v="0"/>
    <s v="BDI Video"/>
    <s v="V2-Trimmed"/>
    <n v="80"/>
    <n v="1"/>
    <x v="1"/>
    <x v="1"/>
    <m/>
    <m/>
    <m/>
    <m/>
  </r>
  <r>
    <m/>
    <x v="0"/>
    <s v="BDI Video"/>
    <s v="V2-Trimmed"/>
    <n v="90"/>
    <n v="1"/>
    <x v="1"/>
    <x v="1"/>
    <m/>
    <m/>
    <m/>
    <m/>
  </r>
  <r>
    <m/>
    <x v="0"/>
    <s v="BDI Video"/>
    <s v="V2-Trimmed"/>
    <n v="120"/>
    <n v="1"/>
    <x v="1"/>
    <x v="1"/>
    <m/>
    <m/>
    <m/>
    <m/>
  </r>
  <r>
    <m/>
    <x v="0"/>
    <s v="BDI Video"/>
    <s v="V2-Trimmed"/>
    <n v="120"/>
    <n v="2"/>
    <x v="2"/>
    <x v="1"/>
    <m/>
    <m/>
    <m/>
    <m/>
  </r>
  <r>
    <m/>
    <x v="0"/>
    <s v="BDI Video"/>
    <s v="V2-Trimmed"/>
    <n v="130"/>
    <n v="1"/>
    <x v="1"/>
    <x v="1"/>
    <m/>
    <m/>
    <m/>
    <m/>
  </r>
  <r>
    <m/>
    <x v="0"/>
    <s v="BDI Video"/>
    <s v="V2-Trimmed"/>
    <n v="130"/>
    <n v="2"/>
    <x v="3"/>
    <x v="2"/>
    <m/>
    <m/>
    <m/>
    <m/>
  </r>
  <r>
    <m/>
    <x v="0"/>
    <s v="BDI Video"/>
    <s v="V2-Trimmed"/>
    <n v="170"/>
    <n v="1"/>
    <x v="1"/>
    <x v="3"/>
    <m/>
    <m/>
    <m/>
    <m/>
  </r>
  <r>
    <m/>
    <x v="0"/>
    <s v="BDI Video"/>
    <s v="V2-Trimmed"/>
    <n v="170"/>
    <n v="2"/>
    <x v="2"/>
    <x v="1"/>
    <m/>
    <m/>
    <m/>
    <m/>
  </r>
  <r>
    <m/>
    <x v="0"/>
    <s v="BDI Video"/>
    <s v="V2-Trimmed"/>
    <n v="180"/>
    <n v="1"/>
    <x v="1"/>
    <x v="3"/>
    <m/>
    <m/>
    <m/>
    <m/>
  </r>
  <r>
    <m/>
    <x v="0"/>
    <s v="BDI Video"/>
    <s v="V2-Trimmed"/>
    <n v="180"/>
    <n v="2"/>
    <x v="2"/>
    <x v="3"/>
    <m/>
    <m/>
    <m/>
    <m/>
  </r>
  <r>
    <m/>
    <x v="0"/>
    <s v="BDI Video"/>
    <s v="V2-Trimmed"/>
    <n v="190"/>
    <n v="1"/>
    <x v="1"/>
    <x v="3"/>
    <m/>
    <m/>
    <m/>
    <m/>
  </r>
  <r>
    <m/>
    <x v="0"/>
    <s v="BDI Video"/>
    <s v="V2-Trimmed"/>
    <n v="190"/>
    <n v="2"/>
    <x v="2"/>
    <x v="1"/>
    <m/>
    <m/>
    <m/>
    <m/>
  </r>
  <r>
    <m/>
    <x v="0"/>
    <s v="BDI Video"/>
    <s v="V2-Trimmed"/>
    <n v="210"/>
    <n v="1"/>
    <x v="1"/>
    <x v="3"/>
    <m/>
    <m/>
    <m/>
    <m/>
  </r>
  <r>
    <m/>
    <x v="0"/>
    <s v="BDI Video"/>
    <s v="V2-Trimmed"/>
    <n v="220"/>
    <n v="1"/>
    <x v="1"/>
    <x v="3"/>
    <m/>
    <m/>
    <m/>
    <m/>
  </r>
  <r>
    <m/>
    <x v="0"/>
    <s v="BDI Video"/>
    <s v="V2-Trimmed"/>
    <n v="230"/>
    <n v="1"/>
    <x v="1"/>
    <x v="3"/>
    <m/>
    <m/>
    <m/>
    <m/>
  </r>
  <r>
    <m/>
    <x v="0"/>
    <s v="BDI Video"/>
    <s v="V2-Trimmed"/>
    <n v="230"/>
    <n v="2"/>
    <x v="1"/>
    <x v="1"/>
    <m/>
    <m/>
    <m/>
    <m/>
  </r>
  <r>
    <m/>
    <x v="0"/>
    <s v="BDI Video"/>
    <s v="V2-Trimmed"/>
    <n v="240"/>
    <n v="1"/>
    <x v="1"/>
    <x v="3"/>
    <m/>
    <m/>
    <m/>
    <m/>
  </r>
  <r>
    <m/>
    <x v="0"/>
    <s v="BDI Video"/>
    <s v="V2-Trimmed"/>
    <n v="240"/>
    <n v="2"/>
    <x v="1"/>
    <x v="1"/>
    <m/>
    <m/>
    <m/>
    <m/>
  </r>
  <r>
    <m/>
    <x v="0"/>
    <s v="BDI Video"/>
    <s v="V2-Trimmed"/>
    <n v="260"/>
    <n v="1"/>
    <x v="2"/>
    <x v="3"/>
    <m/>
    <m/>
    <m/>
    <m/>
  </r>
  <r>
    <m/>
    <x v="0"/>
    <s v="BDI Video"/>
    <s v="V2-Trimmed"/>
    <n v="260"/>
    <n v="1"/>
    <x v="1"/>
    <x v="1"/>
    <m/>
    <m/>
    <m/>
    <m/>
  </r>
  <r>
    <m/>
    <x v="0"/>
    <s v="BDI Video"/>
    <s v="V2-Trimmed"/>
    <n v="270"/>
    <n v="1"/>
    <x v="1"/>
    <x v="3"/>
    <m/>
    <m/>
    <m/>
    <m/>
  </r>
  <r>
    <m/>
    <x v="0"/>
    <s v="BDI Video"/>
    <s v="V2-Trimmed"/>
    <n v="270"/>
    <n v="2"/>
    <x v="4"/>
    <x v="2"/>
    <m/>
    <m/>
    <m/>
    <m/>
  </r>
  <r>
    <m/>
    <x v="0"/>
    <s v="BDI Video"/>
    <s v="V2-Trimmed"/>
    <n v="280"/>
    <n v="1"/>
    <x v="1"/>
    <x v="3"/>
    <m/>
    <m/>
    <m/>
    <m/>
  </r>
  <r>
    <m/>
    <x v="0"/>
    <s v="BDI Video"/>
    <s v="V2-Trimmed"/>
    <n v="280"/>
    <n v="2"/>
    <x v="1"/>
    <x v="1"/>
    <m/>
    <m/>
    <m/>
    <m/>
  </r>
  <r>
    <m/>
    <x v="0"/>
    <s v="BDI Video"/>
    <s v="V2-Trimmed"/>
    <n v="290"/>
    <n v="1"/>
    <x v="1"/>
    <x v="3"/>
    <m/>
    <m/>
    <m/>
    <m/>
  </r>
  <r>
    <m/>
    <x v="0"/>
    <s v="BDI Video"/>
    <s v="V2-Trimmed"/>
    <n v="290"/>
    <n v="2"/>
    <x v="2"/>
    <x v="1"/>
    <m/>
    <m/>
    <m/>
    <m/>
  </r>
  <r>
    <m/>
    <x v="0"/>
    <s v="BDI Video"/>
    <s v="V2-Trimmed"/>
    <n v="300"/>
    <n v="1"/>
    <x v="1"/>
    <x v="3"/>
    <m/>
    <m/>
    <m/>
    <m/>
  </r>
  <r>
    <m/>
    <x v="0"/>
    <s v="BDI Video"/>
    <s v="V2-Trimmed"/>
    <n v="320"/>
    <n v="1"/>
    <x v="1"/>
    <x v="3"/>
    <m/>
    <m/>
    <m/>
    <m/>
  </r>
  <r>
    <m/>
    <x v="0"/>
    <s v="BDI Video"/>
    <s v="V2-Trimmed"/>
    <n v="320"/>
    <n v="2"/>
    <x v="1"/>
    <x v="1"/>
    <m/>
    <m/>
    <m/>
    <m/>
  </r>
  <r>
    <m/>
    <x v="0"/>
    <s v="BDI Video"/>
    <s v="V2-Trimmed"/>
    <n v="330"/>
    <n v="1"/>
    <x v="1"/>
    <x v="3"/>
    <m/>
    <m/>
    <m/>
    <m/>
  </r>
  <r>
    <m/>
    <x v="0"/>
    <s v="BDI Video"/>
    <s v="V2-Trimmed"/>
    <n v="340"/>
    <n v="1"/>
    <x v="1"/>
    <x v="3"/>
    <m/>
    <m/>
    <m/>
    <m/>
  </r>
  <r>
    <m/>
    <x v="0"/>
    <s v="BDI Video"/>
    <s v="V2-Trimmed"/>
    <n v="340"/>
    <n v="2"/>
    <x v="4"/>
    <x v="2"/>
    <m/>
    <m/>
    <m/>
    <m/>
  </r>
  <r>
    <m/>
    <x v="0"/>
    <s v="BDI Video"/>
    <s v="V2-Trimmed"/>
    <n v="360"/>
    <n v="1"/>
    <x v="2"/>
    <x v="3"/>
    <m/>
    <m/>
    <m/>
    <m/>
  </r>
  <r>
    <m/>
    <x v="0"/>
    <s v="BDI Video"/>
    <s v="V2-Trimmed"/>
    <n v="360"/>
    <n v="2"/>
    <x v="1"/>
    <x v="1"/>
    <m/>
    <m/>
    <m/>
    <m/>
  </r>
  <r>
    <m/>
    <x v="0"/>
    <s v="BDI Video"/>
    <s v="V2-Trimmed"/>
    <n v="370"/>
    <n v="1"/>
    <x v="1"/>
    <x v="3"/>
    <m/>
    <m/>
    <m/>
    <m/>
  </r>
  <r>
    <m/>
    <x v="0"/>
    <s v="BDI Video"/>
    <s v="V2-Trimmed"/>
    <n v="370"/>
    <n v="2"/>
    <x v="1"/>
    <x v="1"/>
    <m/>
    <m/>
    <m/>
    <m/>
  </r>
  <r>
    <m/>
    <x v="0"/>
    <s v="BDI Video"/>
    <s v="V2-Trimmed"/>
    <n v="380"/>
    <n v="1"/>
    <x v="1"/>
    <x v="3"/>
    <m/>
    <m/>
    <m/>
    <m/>
  </r>
  <r>
    <m/>
    <x v="0"/>
    <s v="BDI Video"/>
    <s v="V2-Trimmed"/>
    <n v="380"/>
    <n v="2"/>
    <x v="4"/>
    <x v="2"/>
    <m/>
    <m/>
    <m/>
    <m/>
  </r>
  <r>
    <m/>
    <x v="0"/>
    <s v="BDI Video"/>
    <s v="V2-Trimmed"/>
    <n v="380"/>
    <n v="3"/>
    <x v="1"/>
    <x v="3"/>
    <m/>
    <m/>
    <m/>
    <m/>
  </r>
  <r>
    <m/>
    <x v="0"/>
    <s v="BDI Video"/>
    <s v="V2-Trimmed"/>
    <n v="390"/>
    <n v="1"/>
    <x v="1"/>
    <x v="3"/>
    <m/>
    <m/>
    <m/>
    <m/>
  </r>
  <r>
    <m/>
    <x v="0"/>
    <s v="BDI Video"/>
    <s v="V2-Trimmed"/>
    <n v="390"/>
    <n v="2"/>
    <x v="1"/>
    <x v="3"/>
    <m/>
    <m/>
    <m/>
    <m/>
  </r>
  <r>
    <m/>
    <x v="0"/>
    <s v="BDI Video"/>
    <s v="V2-Trimmed"/>
    <n v="400"/>
    <n v="1"/>
    <x v="1"/>
    <x v="3"/>
    <m/>
    <m/>
    <m/>
    <m/>
  </r>
  <r>
    <m/>
    <x v="0"/>
    <s v="BDI Video"/>
    <s v="V2-Trimmed"/>
    <n v="400"/>
    <n v="2"/>
    <x v="2"/>
    <x v="1"/>
    <m/>
    <m/>
    <m/>
    <m/>
  </r>
  <r>
    <m/>
    <x v="0"/>
    <s v="BDI Video"/>
    <s v="V2-Trimmed"/>
    <n v="410"/>
    <n v="1"/>
    <x v="1"/>
    <x v="3"/>
    <m/>
    <m/>
    <m/>
    <m/>
  </r>
  <r>
    <m/>
    <x v="0"/>
    <s v="BDI Video"/>
    <s v="V2-Trimmed"/>
    <n v="410"/>
    <n v="2"/>
    <x v="3"/>
    <x v="2"/>
    <m/>
    <m/>
    <m/>
    <m/>
  </r>
  <r>
    <m/>
    <x v="0"/>
    <s v="BDI Video"/>
    <s v="V2-Trimmed"/>
    <n v="420"/>
    <n v="1"/>
    <x v="1"/>
    <x v="3"/>
    <m/>
    <m/>
    <m/>
    <m/>
  </r>
  <r>
    <m/>
    <x v="0"/>
    <s v="BDI Video"/>
    <s v="V2-Trimmed"/>
    <n v="420"/>
    <n v="2"/>
    <x v="1"/>
    <x v="1"/>
    <m/>
    <m/>
    <m/>
    <m/>
  </r>
  <r>
    <m/>
    <x v="0"/>
    <s v="BDI Video"/>
    <s v="V2-Trimmed"/>
    <n v="440"/>
    <n v="1"/>
    <x v="1"/>
    <x v="3"/>
    <m/>
    <m/>
    <m/>
    <m/>
  </r>
  <r>
    <m/>
    <x v="0"/>
    <s v="BDI Video"/>
    <s v="V2-Trimmed"/>
    <n v="440"/>
    <n v="2"/>
    <x v="2"/>
    <x v="3"/>
    <m/>
    <m/>
    <m/>
    <m/>
  </r>
  <r>
    <m/>
    <x v="0"/>
    <s v="BDI Video"/>
    <s v="V2-Trimmed"/>
    <n v="470"/>
    <n v="1"/>
    <x v="1"/>
    <x v="3"/>
    <m/>
    <m/>
    <m/>
    <m/>
  </r>
  <r>
    <m/>
    <x v="0"/>
    <s v="BDI Video"/>
    <s v="V2-Trimmed"/>
    <n v="480"/>
    <n v="1"/>
    <x v="0"/>
    <x v="0"/>
    <s v="not a target"/>
    <m/>
    <m/>
    <m/>
  </r>
  <r>
    <m/>
    <x v="0"/>
    <s v="BDI Video"/>
    <s v="V2-Trimmed"/>
    <n v="490"/>
    <n v="1"/>
    <x v="0"/>
    <x v="0"/>
    <s v="not a target"/>
    <m/>
    <m/>
    <m/>
  </r>
  <r>
    <m/>
    <x v="0"/>
    <s v="BDI Video"/>
    <s v="V2-Trimmed"/>
    <n v="500"/>
    <n v="1"/>
    <x v="0"/>
    <x v="0"/>
    <s v="not a target"/>
    <m/>
    <m/>
    <m/>
  </r>
  <r>
    <m/>
    <x v="0"/>
    <s v="BDI Video"/>
    <s v="V2-Trimmed"/>
    <n v="510"/>
    <n v="1"/>
    <x v="0"/>
    <x v="0"/>
    <s v="not a target"/>
    <m/>
    <m/>
    <m/>
  </r>
  <r>
    <m/>
    <x v="0"/>
    <s v="BDI Video"/>
    <s v="V2-Trimmed"/>
    <n v="520"/>
    <n v="1"/>
    <x v="0"/>
    <x v="0"/>
    <s v="not a target"/>
    <m/>
    <m/>
    <m/>
  </r>
  <r>
    <m/>
    <x v="0"/>
    <s v="BDI Video"/>
    <s v="V2-Trimmed"/>
    <n v="530"/>
    <n v="1"/>
    <x v="0"/>
    <x v="0"/>
    <s v="not a target"/>
    <m/>
    <m/>
    <m/>
  </r>
  <r>
    <m/>
    <x v="0"/>
    <s v="BDI Video"/>
    <s v="V2-Trimmed"/>
    <n v="540"/>
    <n v="1"/>
    <x v="0"/>
    <x v="0"/>
    <s v="not a target"/>
    <m/>
    <m/>
    <m/>
  </r>
  <r>
    <m/>
    <x v="0"/>
    <s v="BDI Video"/>
    <s v="V2-Trimmed"/>
    <n v="550"/>
    <n v="1"/>
    <x v="0"/>
    <x v="0"/>
    <s v="not a target"/>
    <m/>
    <m/>
    <m/>
  </r>
  <r>
    <m/>
    <x v="0"/>
    <s v="BDI Video"/>
    <s v="V2-Trimmed"/>
    <n v="640"/>
    <n v="1"/>
    <x v="0"/>
    <x v="0"/>
    <s v="not a target"/>
    <m/>
    <m/>
    <m/>
  </r>
  <r>
    <m/>
    <x v="0"/>
    <s v="BDI Video"/>
    <s v="V2-Trimmed"/>
    <n v="650"/>
    <n v="1"/>
    <x v="0"/>
    <x v="0"/>
    <s v="not a target"/>
    <m/>
    <m/>
    <m/>
  </r>
  <r>
    <m/>
    <x v="0"/>
    <s v="BDI Video"/>
    <s v="V2-Trimmed"/>
    <n v="670"/>
    <n v="1"/>
    <x v="0"/>
    <x v="0"/>
    <s v="not a target"/>
    <m/>
    <m/>
    <m/>
  </r>
  <r>
    <m/>
    <x v="0"/>
    <s v="BDI Video"/>
    <s v="V2-Trimmed"/>
    <n v="680"/>
    <n v="1"/>
    <x v="0"/>
    <x v="0"/>
    <s v="not a target"/>
    <m/>
    <m/>
    <m/>
  </r>
  <r>
    <m/>
    <x v="0"/>
    <s v="BDI Video"/>
    <s v="V2-Trimmed"/>
    <n v="690"/>
    <n v="1"/>
    <x v="0"/>
    <x v="0"/>
    <s v="not a target"/>
    <m/>
    <m/>
    <m/>
  </r>
  <r>
    <m/>
    <x v="0"/>
    <s v="BDI Video"/>
    <s v="V2-Trimmed"/>
    <n v="730"/>
    <n v="1"/>
    <x v="0"/>
    <x v="0"/>
    <s v="not a target"/>
    <m/>
    <m/>
    <m/>
  </r>
  <r>
    <m/>
    <x v="0"/>
    <s v="BDI Video"/>
    <s v="V2-Trimmed"/>
    <n v="750"/>
    <n v="1"/>
    <x v="0"/>
    <x v="0"/>
    <s v="not a target"/>
    <m/>
    <m/>
    <m/>
  </r>
  <r>
    <m/>
    <x v="0"/>
    <s v="BDI Video"/>
    <s v="V2-Trimmed"/>
    <n v="760"/>
    <n v="1"/>
    <x v="0"/>
    <x v="0"/>
    <s v="not a target"/>
    <m/>
    <m/>
    <m/>
  </r>
  <r>
    <m/>
    <x v="0"/>
    <s v="BDI Video"/>
    <s v="V2-Trimmed"/>
    <n v="770"/>
    <n v="1"/>
    <x v="0"/>
    <x v="0"/>
    <s v="not a target"/>
    <m/>
    <m/>
    <m/>
  </r>
  <r>
    <m/>
    <x v="0"/>
    <s v="BDI Video"/>
    <s v="V2-Trimmed"/>
    <n v="800"/>
    <n v="1"/>
    <x v="0"/>
    <x v="0"/>
    <s v="not a target"/>
    <m/>
    <m/>
    <m/>
  </r>
  <r>
    <m/>
    <x v="0"/>
    <s v="BDI Video"/>
    <s v="V2-Trimmed"/>
    <n v="810"/>
    <n v="1"/>
    <x v="0"/>
    <x v="0"/>
    <s v="not a target"/>
    <m/>
    <m/>
    <m/>
  </r>
  <r>
    <m/>
    <x v="0"/>
    <s v="BDI Video"/>
    <s v="V2-Trimmed"/>
    <n v="890"/>
    <n v="1"/>
    <x v="0"/>
    <x v="0"/>
    <s v="not a target"/>
    <m/>
    <m/>
    <m/>
  </r>
  <r>
    <m/>
    <x v="0"/>
    <s v="BDI Video"/>
    <s v="V2-Trimmed"/>
    <n v="900"/>
    <n v="1"/>
    <x v="0"/>
    <x v="0"/>
    <s v="not a target"/>
    <m/>
    <m/>
    <m/>
  </r>
  <r>
    <m/>
    <x v="0"/>
    <s v="BDI Video"/>
    <s v="V2-Trimmed"/>
    <n v="910"/>
    <n v="1"/>
    <x v="0"/>
    <x v="0"/>
    <s v="not a target"/>
    <m/>
    <m/>
    <m/>
  </r>
  <r>
    <m/>
    <x v="0"/>
    <s v="BDI Video"/>
    <s v="V2-Trimmed"/>
    <n v="920"/>
    <n v="1"/>
    <x v="0"/>
    <x v="0"/>
    <s v="not a target"/>
    <m/>
    <m/>
    <m/>
  </r>
  <r>
    <m/>
    <x v="0"/>
    <s v="BDI Video"/>
    <s v="V2-Trimmed"/>
    <n v="950"/>
    <n v="1"/>
    <x v="0"/>
    <x v="0"/>
    <s v="not a target"/>
    <m/>
    <m/>
    <m/>
  </r>
  <r>
    <m/>
    <x v="0"/>
    <s v="BDI Video"/>
    <s v="V2-Trimmed"/>
    <n v="960"/>
    <n v="1"/>
    <x v="0"/>
    <x v="0"/>
    <s v="not a target"/>
    <m/>
    <m/>
    <m/>
  </r>
  <r>
    <m/>
    <x v="0"/>
    <s v="BDI Video"/>
    <s v="V2-Trimmed"/>
    <n v="980"/>
    <n v="1"/>
    <x v="0"/>
    <x v="0"/>
    <s v="not a target"/>
    <m/>
    <m/>
    <m/>
  </r>
  <r>
    <m/>
    <x v="0"/>
    <s v="BDI Video"/>
    <s v="V2-Trimmed"/>
    <n v="1010"/>
    <n v="1"/>
    <x v="0"/>
    <x v="0"/>
    <s v="not a target"/>
    <m/>
    <m/>
    <m/>
  </r>
  <r>
    <m/>
    <x v="0"/>
    <s v="BDI Video"/>
    <s v="V2-Trimmed"/>
    <n v="1020"/>
    <n v="1"/>
    <x v="0"/>
    <x v="0"/>
    <s v="not a target"/>
    <m/>
    <m/>
    <m/>
  </r>
  <r>
    <m/>
    <x v="0"/>
    <s v="BDI Video"/>
    <s v="V2-Trimmed"/>
    <n v="1030"/>
    <n v="1"/>
    <x v="0"/>
    <x v="0"/>
    <s v="not a target"/>
    <m/>
    <m/>
    <m/>
  </r>
  <r>
    <m/>
    <x v="0"/>
    <s v="BDI Video"/>
    <s v="V2-Trimmed"/>
    <n v="1050"/>
    <n v="1"/>
    <x v="0"/>
    <x v="0"/>
    <s v="not a target"/>
    <m/>
    <m/>
    <m/>
  </r>
  <r>
    <m/>
    <x v="0"/>
    <s v="BDI Video"/>
    <s v="V2-Trimmed"/>
    <n v="1110"/>
    <n v="1"/>
    <x v="0"/>
    <x v="0"/>
    <s v="not a target"/>
    <m/>
    <m/>
    <m/>
  </r>
  <r>
    <m/>
    <x v="0"/>
    <s v="BDI Video"/>
    <s v="V2-Trimmed"/>
    <n v="1130"/>
    <n v="1"/>
    <x v="0"/>
    <x v="0"/>
    <s v="not a target"/>
    <m/>
    <m/>
    <m/>
  </r>
  <r>
    <m/>
    <x v="0"/>
    <s v="BDI Video"/>
    <s v="V2-Trimmed"/>
    <n v="1140"/>
    <n v="1"/>
    <x v="0"/>
    <x v="0"/>
    <s v="not a target"/>
    <m/>
    <m/>
    <m/>
  </r>
  <r>
    <m/>
    <x v="0"/>
    <s v="BDI Video"/>
    <s v="V2-Trimmed"/>
    <n v="1150"/>
    <n v="1"/>
    <x v="0"/>
    <x v="0"/>
    <s v="not a target"/>
    <m/>
    <m/>
    <m/>
  </r>
  <r>
    <m/>
    <x v="0"/>
    <s v="BDI Video"/>
    <s v="V2-Trimmed"/>
    <n v="1160"/>
    <n v="1"/>
    <x v="0"/>
    <x v="0"/>
    <s v="not a target"/>
    <m/>
    <m/>
    <m/>
  </r>
  <r>
    <m/>
    <x v="0"/>
    <s v="BDI Video"/>
    <s v="V2-Trimmed"/>
    <n v="1180"/>
    <n v="1"/>
    <x v="0"/>
    <x v="0"/>
    <s v="not a target"/>
    <m/>
    <m/>
    <m/>
  </r>
  <r>
    <m/>
    <x v="0"/>
    <s v="BDI Video"/>
    <s v="V2-Trimmed"/>
    <n v="1220"/>
    <n v="1"/>
    <x v="0"/>
    <x v="0"/>
    <s v="not a target"/>
    <m/>
    <m/>
    <m/>
  </r>
  <r>
    <m/>
    <x v="0"/>
    <s v="BDI Video"/>
    <s v="V2-Trimmed"/>
    <n v="1260"/>
    <n v="1"/>
    <x v="0"/>
    <x v="0"/>
    <s v="not a target"/>
    <m/>
    <m/>
    <m/>
  </r>
  <r>
    <m/>
    <x v="0"/>
    <s v="BDI Video"/>
    <s v="V2-Trimmed"/>
    <n v="1310"/>
    <n v="1"/>
    <x v="0"/>
    <x v="0"/>
    <s v="not a target"/>
    <m/>
    <m/>
    <m/>
  </r>
  <r>
    <m/>
    <x v="0"/>
    <s v="BDI Video"/>
    <s v="V2-Trimmed"/>
    <n v="1330"/>
    <n v="1"/>
    <x v="0"/>
    <x v="0"/>
    <s v="not a target"/>
    <m/>
    <m/>
    <m/>
  </r>
  <r>
    <m/>
    <x v="0"/>
    <s v="BDI Video"/>
    <s v="V2-Trimmed"/>
    <n v="1340"/>
    <n v="1"/>
    <x v="0"/>
    <x v="0"/>
    <s v="not a target"/>
    <m/>
    <m/>
    <m/>
  </r>
  <r>
    <m/>
    <x v="0"/>
    <s v="BDI Video"/>
    <s v="V2-Trimmed"/>
    <n v="1360"/>
    <n v="1"/>
    <x v="0"/>
    <x v="0"/>
    <s v="not a target"/>
    <m/>
    <m/>
    <m/>
  </r>
  <r>
    <m/>
    <x v="0"/>
    <s v="BDI Video"/>
    <s v="V2-Trimmed"/>
    <n v="1370"/>
    <n v="1"/>
    <x v="0"/>
    <x v="0"/>
    <s v="not a target"/>
    <m/>
    <m/>
    <m/>
  </r>
  <r>
    <m/>
    <x v="0"/>
    <s v="BDI Video"/>
    <s v="V2-Trimmed"/>
    <n v="1390"/>
    <n v="1"/>
    <x v="0"/>
    <x v="0"/>
    <s v="not a target"/>
    <m/>
    <m/>
    <m/>
  </r>
  <r>
    <m/>
    <x v="0"/>
    <s v="BDI Video"/>
    <s v="V2-Trimmed"/>
    <n v="1410"/>
    <n v="1"/>
    <x v="0"/>
    <x v="0"/>
    <s v="not a target"/>
    <m/>
    <m/>
    <m/>
  </r>
  <r>
    <m/>
    <x v="0"/>
    <s v="BDI Video"/>
    <s v="V2-Trimmed"/>
    <n v="1420"/>
    <n v="1"/>
    <x v="0"/>
    <x v="0"/>
    <s v="not a target"/>
    <m/>
    <m/>
    <m/>
  </r>
  <r>
    <m/>
    <x v="0"/>
    <s v="BDI Video"/>
    <s v="V2-Trimmed"/>
    <n v="1470"/>
    <n v="1"/>
    <x v="0"/>
    <x v="0"/>
    <s v="not a target"/>
    <m/>
    <m/>
    <m/>
  </r>
  <r>
    <m/>
    <x v="0"/>
    <s v="BDI Video"/>
    <s v="V2-Trimmed"/>
    <n v="1500"/>
    <n v="1"/>
    <x v="0"/>
    <x v="0"/>
    <s v="not a target"/>
    <m/>
    <m/>
    <m/>
  </r>
  <r>
    <m/>
    <x v="0"/>
    <s v="BDI Video"/>
    <s v="V2-Trimmed"/>
    <n v="1530"/>
    <n v="1"/>
    <x v="0"/>
    <x v="0"/>
    <s v="not a target"/>
    <m/>
    <m/>
    <m/>
  </r>
  <r>
    <m/>
    <x v="0"/>
    <s v="BDI Video"/>
    <s v="V2-Trimmed"/>
    <n v="1540"/>
    <n v="1"/>
    <x v="0"/>
    <x v="0"/>
    <s v="not a target"/>
    <m/>
    <m/>
    <m/>
  </r>
  <r>
    <m/>
    <x v="0"/>
    <s v="BDI Video"/>
    <s v="V2-Trimmed"/>
    <n v="1620"/>
    <n v="1"/>
    <x v="0"/>
    <x v="0"/>
    <s v="not a target"/>
    <m/>
    <m/>
    <m/>
  </r>
  <r>
    <m/>
    <x v="0"/>
    <s v="BDI Video"/>
    <s v="V4-Trimmed"/>
    <n v="30"/>
    <n v="1"/>
    <x v="2"/>
    <x v="3"/>
    <m/>
    <m/>
    <m/>
    <m/>
  </r>
  <r>
    <m/>
    <x v="0"/>
    <s v="BDI Video"/>
    <s v="V4-Trimmed"/>
    <n v="30"/>
    <n v="2"/>
    <x v="1"/>
    <x v="1"/>
    <m/>
    <m/>
    <m/>
    <m/>
  </r>
  <r>
    <m/>
    <x v="0"/>
    <s v="BDI Video"/>
    <s v="V4-Trimmed"/>
    <n v="60"/>
    <n v="1"/>
    <x v="2"/>
    <x v="3"/>
    <m/>
    <m/>
    <m/>
    <m/>
  </r>
  <r>
    <m/>
    <x v="0"/>
    <s v="BDI Video"/>
    <s v="V4-Trimmed"/>
    <n v="60"/>
    <n v="2"/>
    <x v="1"/>
    <x v="1"/>
    <m/>
    <m/>
    <m/>
    <m/>
  </r>
  <r>
    <m/>
    <x v="0"/>
    <s v="BDI Video"/>
    <s v="V4-Trimmed"/>
    <n v="70"/>
    <n v="1"/>
    <x v="2"/>
    <x v="1"/>
    <m/>
    <m/>
    <m/>
    <m/>
  </r>
  <r>
    <m/>
    <x v="0"/>
    <s v="BDI Video"/>
    <s v="V4-Trimmed"/>
    <n v="70"/>
    <n v="2"/>
    <x v="1"/>
    <x v="3"/>
    <m/>
    <m/>
    <m/>
    <m/>
  </r>
  <r>
    <m/>
    <x v="0"/>
    <s v="BDI Video"/>
    <s v="V4-Trimmed"/>
    <n v="80"/>
    <n v="1"/>
    <x v="1"/>
    <x v="1"/>
    <m/>
    <m/>
    <m/>
    <m/>
  </r>
  <r>
    <m/>
    <x v="0"/>
    <s v="BDI Video"/>
    <s v="V4-Trimmed"/>
    <n v="80"/>
    <n v="2"/>
    <x v="3"/>
    <x v="2"/>
    <m/>
    <m/>
    <m/>
    <m/>
  </r>
  <r>
    <m/>
    <x v="0"/>
    <s v="BDI Video"/>
    <s v="V4-Trimmed"/>
    <n v="120"/>
    <n v="1"/>
    <x v="2"/>
    <x v="1"/>
    <m/>
    <m/>
    <m/>
    <m/>
  </r>
  <r>
    <m/>
    <x v="0"/>
    <s v="BDI Video"/>
    <s v="V4-Trimmed"/>
    <n v="120"/>
    <n v="2"/>
    <x v="1"/>
    <x v="1"/>
    <m/>
    <m/>
    <m/>
    <m/>
  </r>
  <r>
    <m/>
    <x v="0"/>
    <s v="BDI Video"/>
    <s v="V4-Trimmed"/>
    <n v="130"/>
    <n v="1"/>
    <x v="2"/>
    <x v="1"/>
    <m/>
    <m/>
    <m/>
    <m/>
  </r>
  <r>
    <m/>
    <x v="0"/>
    <s v="BDI Video"/>
    <s v="V4-Trimmed"/>
    <n v="130"/>
    <n v="2"/>
    <x v="1"/>
    <x v="1"/>
    <m/>
    <m/>
    <m/>
    <m/>
  </r>
  <r>
    <m/>
    <x v="0"/>
    <s v="BDI Video"/>
    <s v="V4-Trimmed"/>
    <n v="140"/>
    <n v="1"/>
    <x v="2"/>
    <x v="1"/>
    <m/>
    <m/>
    <m/>
    <m/>
  </r>
  <r>
    <m/>
    <x v="0"/>
    <s v="BDI Video"/>
    <s v="V4-Trimmed"/>
    <n v="140"/>
    <n v="2"/>
    <x v="1"/>
    <x v="1"/>
    <m/>
    <m/>
    <m/>
    <m/>
  </r>
  <r>
    <m/>
    <x v="0"/>
    <s v="BDI Video"/>
    <s v="V4-Trimmed"/>
    <n v="150"/>
    <n v="1"/>
    <x v="1"/>
    <x v="1"/>
    <m/>
    <m/>
    <m/>
    <m/>
  </r>
  <r>
    <m/>
    <x v="0"/>
    <s v="BDI Video"/>
    <s v="V4-Trimmed"/>
    <n v="160"/>
    <n v="1"/>
    <x v="4"/>
    <x v="2"/>
    <m/>
    <m/>
    <m/>
    <m/>
  </r>
  <r>
    <m/>
    <x v="0"/>
    <s v="BDI Video"/>
    <s v="V4-Trimmed"/>
    <n v="160"/>
    <n v="2"/>
    <x v="1"/>
    <x v="3"/>
    <m/>
    <m/>
    <m/>
    <m/>
  </r>
  <r>
    <m/>
    <x v="0"/>
    <s v="BDI Video"/>
    <s v="V4-Trimmed"/>
    <n v="230"/>
    <n v="1"/>
    <x v="2"/>
    <x v="3"/>
    <m/>
    <m/>
    <m/>
    <m/>
  </r>
  <r>
    <m/>
    <x v="0"/>
    <s v="BDI Video"/>
    <s v="V4-Trimmed"/>
    <n v="230"/>
    <n v="2"/>
    <x v="1"/>
    <x v="3"/>
    <m/>
    <m/>
    <m/>
    <m/>
  </r>
  <r>
    <m/>
    <x v="0"/>
    <s v="BDI Video"/>
    <s v="V4-Trimmed"/>
    <n v="260"/>
    <n v="1"/>
    <x v="2"/>
    <x v="3"/>
    <m/>
    <m/>
    <m/>
    <m/>
  </r>
  <r>
    <m/>
    <x v="0"/>
    <s v="BDI Video"/>
    <s v="V4-Trimmed"/>
    <n v="260"/>
    <n v="2"/>
    <x v="1"/>
    <x v="3"/>
    <m/>
    <m/>
    <m/>
    <m/>
  </r>
  <r>
    <m/>
    <x v="0"/>
    <s v="BDI Video"/>
    <s v="V4-Trimmed"/>
    <n v="270"/>
    <n v="1"/>
    <x v="1"/>
    <x v="3"/>
    <m/>
    <m/>
    <m/>
    <m/>
  </r>
  <r>
    <m/>
    <x v="0"/>
    <s v="BDI Video"/>
    <s v="V4-Trimmed"/>
    <n v="300"/>
    <n v="1"/>
    <x v="1"/>
    <x v="3"/>
    <m/>
    <m/>
    <m/>
    <m/>
  </r>
  <r>
    <m/>
    <x v="0"/>
    <s v="BDI Video"/>
    <s v="V4-Trimmed"/>
    <n v="360"/>
    <n v="1"/>
    <x v="2"/>
    <x v="3"/>
    <m/>
    <m/>
    <m/>
    <m/>
  </r>
  <r>
    <m/>
    <x v="0"/>
    <s v="BDI Video"/>
    <s v="V4-Trimmed"/>
    <n v="360"/>
    <n v="2"/>
    <x v="1"/>
    <x v="1"/>
    <m/>
    <m/>
    <m/>
    <m/>
  </r>
  <r>
    <m/>
    <x v="0"/>
    <s v="BDI Video"/>
    <s v="V4-Trimmed"/>
    <n v="370"/>
    <n v="1"/>
    <x v="1"/>
    <x v="3"/>
    <m/>
    <m/>
    <m/>
    <m/>
  </r>
  <r>
    <m/>
    <x v="0"/>
    <s v="BDI Video"/>
    <s v="V4-Trimmed"/>
    <n v="370"/>
    <n v="2"/>
    <x v="2"/>
    <x v="1"/>
    <m/>
    <m/>
    <m/>
    <m/>
  </r>
  <r>
    <m/>
    <x v="0"/>
    <s v="BDI Video"/>
    <s v="V4-Trimmed"/>
    <n v="380"/>
    <n v="1"/>
    <x v="1"/>
    <x v="3"/>
    <m/>
    <m/>
    <m/>
    <m/>
  </r>
  <r>
    <m/>
    <x v="0"/>
    <s v="BDI Video"/>
    <s v="V4-Trimmed"/>
    <n v="380"/>
    <n v="2"/>
    <x v="2"/>
    <x v="1"/>
    <m/>
    <m/>
    <m/>
    <m/>
  </r>
  <r>
    <m/>
    <x v="0"/>
    <s v="BDI Video"/>
    <s v="V4-Trimmed"/>
    <n v="390"/>
    <n v="1"/>
    <x v="1"/>
    <x v="3"/>
    <m/>
    <m/>
    <m/>
    <m/>
  </r>
  <r>
    <m/>
    <x v="0"/>
    <s v="BDI Video"/>
    <s v="V4-Trimmed"/>
    <n v="390"/>
    <n v="2"/>
    <x v="3"/>
    <x v="2"/>
    <m/>
    <m/>
    <m/>
    <m/>
  </r>
  <r>
    <m/>
    <x v="0"/>
    <s v="BDI Video"/>
    <s v="V4-Trimmed"/>
    <n v="400"/>
    <n v="1"/>
    <x v="1"/>
    <x v="1"/>
    <m/>
    <m/>
    <m/>
    <m/>
  </r>
  <r>
    <m/>
    <x v="0"/>
    <s v="BDI Video"/>
    <s v="V4-Trimmed"/>
    <n v="410"/>
    <n v="1"/>
    <x v="1"/>
    <x v="3"/>
    <m/>
    <m/>
    <m/>
    <m/>
  </r>
  <r>
    <m/>
    <x v="0"/>
    <s v="BDI Video"/>
    <s v="V4-Trimmed"/>
    <n v="410"/>
    <n v="2"/>
    <x v="1"/>
    <x v="1"/>
    <m/>
    <m/>
    <m/>
    <m/>
  </r>
  <r>
    <m/>
    <x v="0"/>
    <s v="BDI Video"/>
    <s v="V4-Trimmed"/>
    <n v="510"/>
    <n v="1"/>
    <x v="1"/>
    <x v="3"/>
    <m/>
    <m/>
    <m/>
    <m/>
  </r>
  <r>
    <m/>
    <x v="0"/>
    <s v="BDI Video"/>
    <s v="V4-Trimmed"/>
    <n v="510"/>
    <n v="2"/>
    <x v="2"/>
    <x v="3"/>
    <m/>
    <m/>
    <m/>
    <m/>
  </r>
  <r>
    <m/>
    <x v="0"/>
    <s v="BDI Video"/>
    <s v="V4-Trimmed"/>
    <n v="510"/>
    <n v="3"/>
    <x v="3"/>
    <x v="2"/>
    <m/>
    <m/>
    <m/>
    <m/>
  </r>
  <r>
    <m/>
    <x v="0"/>
    <s v="BDI Video"/>
    <s v="V4-Trimmed"/>
    <n v="590"/>
    <n v="1"/>
    <x v="1"/>
    <x v="1"/>
    <m/>
    <m/>
    <m/>
    <m/>
  </r>
  <r>
    <m/>
    <x v="0"/>
    <s v="BDI Video"/>
    <s v="V4-Trimmed"/>
    <n v="660"/>
    <n v="1"/>
    <x v="1"/>
    <x v="3"/>
    <m/>
    <m/>
    <m/>
    <m/>
  </r>
  <r>
    <m/>
    <x v="0"/>
    <s v="BDI Video"/>
    <s v="V4-Trimmed"/>
    <n v="660"/>
    <n v="2"/>
    <x v="1"/>
    <x v="1"/>
    <m/>
    <m/>
    <m/>
    <m/>
  </r>
  <r>
    <m/>
    <x v="0"/>
    <s v="BDI Video"/>
    <s v="V4-Trimmed"/>
    <n v="690"/>
    <n v="1"/>
    <x v="1"/>
    <x v="3"/>
    <m/>
    <m/>
    <m/>
    <m/>
  </r>
  <r>
    <m/>
    <x v="0"/>
    <s v="BDI Video"/>
    <s v="V4-Trimmed"/>
    <n v="690"/>
    <n v="2"/>
    <x v="3"/>
    <x v="2"/>
    <m/>
    <m/>
    <m/>
    <m/>
  </r>
  <r>
    <m/>
    <x v="0"/>
    <s v="BDI Video"/>
    <s v="V4-Trimmed"/>
    <n v="710"/>
    <n v="1"/>
    <x v="1"/>
    <x v="3"/>
    <m/>
    <m/>
    <m/>
    <m/>
  </r>
  <r>
    <m/>
    <x v="0"/>
    <s v="BDI Video"/>
    <s v="V4-Trimmed"/>
    <n v="720"/>
    <n v="1"/>
    <x v="2"/>
    <x v="1"/>
    <m/>
    <m/>
    <m/>
    <m/>
  </r>
  <r>
    <m/>
    <x v="0"/>
    <s v="BDI Video"/>
    <s v="V4-Trimmed"/>
    <n v="720"/>
    <n v="2"/>
    <x v="1"/>
    <x v="1"/>
    <m/>
    <m/>
    <m/>
    <m/>
  </r>
  <r>
    <m/>
    <x v="0"/>
    <s v="BDI Video"/>
    <s v="V4-Trimmed"/>
    <n v="750"/>
    <n v="1"/>
    <x v="1"/>
    <x v="1"/>
    <m/>
    <m/>
    <m/>
    <m/>
  </r>
  <r>
    <m/>
    <x v="0"/>
    <s v="BDI Video"/>
    <s v="V4-Trimmed"/>
    <n v="750"/>
    <n v="2"/>
    <x v="3"/>
    <x v="2"/>
    <m/>
    <m/>
    <m/>
    <m/>
  </r>
  <r>
    <m/>
    <x v="0"/>
    <s v="BDI Video"/>
    <s v="V4-Trimmed"/>
    <n v="770"/>
    <n v="1"/>
    <x v="2"/>
    <x v="1"/>
    <m/>
    <m/>
    <m/>
    <m/>
  </r>
  <r>
    <m/>
    <x v="0"/>
    <s v="BDI Video"/>
    <s v="V4-Trimmed"/>
    <n v="770"/>
    <n v="2"/>
    <x v="1"/>
    <x v="1"/>
    <m/>
    <m/>
    <m/>
    <m/>
  </r>
  <r>
    <m/>
    <x v="0"/>
    <s v="BDI Video"/>
    <s v="V4-Trimmed"/>
    <n v="780"/>
    <n v="1"/>
    <x v="1"/>
    <x v="1"/>
    <m/>
    <m/>
    <m/>
    <m/>
  </r>
  <r>
    <m/>
    <x v="0"/>
    <s v="BDI Video"/>
    <s v="V4-Trimmed"/>
    <n v="780"/>
    <n v="2"/>
    <x v="3"/>
    <x v="2"/>
    <m/>
    <m/>
    <m/>
    <m/>
  </r>
  <r>
    <m/>
    <x v="0"/>
    <s v="BDI Video"/>
    <s v="V4-Trimmed"/>
    <n v="800"/>
    <n v="1"/>
    <x v="1"/>
    <x v="1"/>
    <m/>
    <m/>
    <m/>
    <m/>
  </r>
  <r>
    <m/>
    <x v="0"/>
    <s v="BDI Video"/>
    <s v="V4-Trimmed"/>
    <n v="800"/>
    <n v="2"/>
    <x v="3"/>
    <x v="2"/>
    <m/>
    <m/>
    <m/>
    <m/>
  </r>
  <r>
    <m/>
    <x v="0"/>
    <s v="BDI Video"/>
    <s v="V4-Trimmed"/>
    <n v="810"/>
    <n v="1"/>
    <x v="1"/>
    <x v="1"/>
    <m/>
    <m/>
    <m/>
    <m/>
  </r>
  <r>
    <m/>
    <x v="0"/>
    <s v="BDI Video"/>
    <s v="V4-Trimmed"/>
    <n v="810"/>
    <n v="2"/>
    <x v="3"/>
    <x v="2"/>
    <m/>
    <m/>
    <m/>
    <m/>
  </r>
  <r>
    <m/>
    <x v="0"/>
    <s v="BDI Video"/>
    <s v="V4-Trimmed"/>
    <n v="820"/>
    <n v="1"/>
    <x v="1"/>
    <x v="1"/>
    <m/>
    <m/>
    <m/>
    <m/>
  </r>
  <r>
    <m/>
    <x v="0"/>
    <s v="BDI Video"/>
    <s v="V4-Trimmed"/>
    <n v="820"/>
    <n v="2"/>
    <x v="2"/>
    <x v="1"/>
    <m/>
    <m/>
    <m/>
    <m/>
  </r>
  <r>
    <m/>
    <x v="0"/>
    <s v="BDI Video"/>
    <s v="V5-Trimmed"/>
    <n v="10"/>
    <n v="1"/>
    <x v="2"/>
    <x v="3"/>
    <m/>
    <m/>
    <m/>
    <m/>
  </r>
  <r>
    <m/>
    <x v="0"/>
    <s v="BDI Video"/>
    <s v="V5-Trimmed"/>
    <n v="10"/>
    <n v="2"/>
    <x v="1"/>
    <x v="1"/>
    <m/>
    <m/>
    <m/>
    <m/>
  </r>
  <r>
    <m/>
    <x v="0"/>
    <s v="BDI Video"/>
    <s v="V5-Trimmed"/>
    <n v="40"/>
    <n v="1"/>
    <x v="2"/>
    <x v="3"/>
    <m/>
    <m/>
    <m/>
    <m/>
  </r>
  <r>
    <m/>
    <x v="0"/>
    <s v="BDI Video"/>
    <s v="V5-Trimmed"/>
    <n v="40"/>
    <n v="2"/>
    <x v="1"/>
    <x v="1"/>
    <m/>
    <m/>
    <m/>
    <m/>
  </r>
  <r>
    <m/>
    <x v="0"/>
    <s v="BDI Video"/>
    <s v="V5-Trimmed"/>
    <n v="60"/>
    <n v="1"/>
    <x v="1"/>
    <x v="1"/>
    <m/>
    <m/>
    <m/>
    <m/>
  </r>
  <r>
    <m/>
    <x v="0"/>
    <s v="BDI Video"/>
    <s v="V5-Trimmed"/>
    <n v="70"/>
    <n v="1"/>
    <x v="1"/>
    <x v="1"/>
    <m/>
    <m/>
    <m/>
    <m/>
  </r>
  <r>
    <m/>
    <x v="0"/>
    <s v="BDI Video"/>
    <s v="V5-Trimmed"/>
    <n v="80"/>
    <n v="1"/>
    <x v="4"/>
    <x v="2"/>
    <m/>
    <m/>
    <m/>
    <m/>
  </r>
  <r>
    <m/>
    <x v="0"/>
    <s v="BDI Video"/>
    <s v="V5-Trimmed"/>
    <n v="100"/>
    <n v="1"/>
    <x v="1"/>
    <x v="1"/>
    <m/>
    <m/>
    <m/>
    <m/>
  </r>
  <r>
    <m/>
    <x v="0"/>
    <s v="BDI Video"/>
    <s v="V5-Trimmed"/>
    <n v="110"/>
    <n v="1"/>
    <x v="1"/>
    <x v="1"/>
    <m/>
    <m/>
    <m/>
    <m/>
  </r>
  <r>
    <m/>
    <x v="0"/>
    <s v="BDI Video"/>
    <s v="V5-Trimmed"/>
    <n v="180"/>
    <n v="1"/>
    <x v="3"/>
    <x v="2"/>
    <m/>
    <m/>
    <m/>
    <m/>
  </r>
  <r>
    <m/>
    <x v="0"/>
    <s v="BDI Video"/>
    <s v="V5-Trimmed"/>
    <n v="190"/>
    <n v="1"/>
    <x v="1"/>
    <x v="3"/>
    <m/>
    <m/>
    <m/>
    <m/>
  </r>
  <r>
    <m/>
    <x v="0"/>
    <s v="BDI Video"/>
    <s v="V5-Trimmed"/>
    <n v="190"/>
    <n v="2"/>
    <x v="1"/>
    <x v="1"/>
    <m/>
    <m/>
    <m/>
    <m/>
  </r>
  <r>
    <m/>
    <x v="0"/>
    <s v="BDI Video"/>
    <s v="V5-Trimmed"/>
    <n v="200"/>
    <n v="1"/>
    <x v="1"/>
    <x v="3"/>
    <m/>
    <m/>
    <m/>
    <m/>
  </r>
  <r>
    <m/>
    <x v="0"/>
    <s v="BDI Video"/>
    <s v="V5-Trimmed"/>
    <n v="200"/>
    <n v="2"/>
    <x v="1"/>
    <x v="1"/>
    <m/>
    <m/>
    <m/>
    <m/>
  </r>
  <r>
    <m/>
    <x v="0"/>
    <s v="BDI Video"/>
    <s v="V5-Trimmed"/>
    <n v="250"/>
    <n v="1"/>
    <x v="1"/>
    <x v="3"/>
    <m/>
    <m/>
    <m/>
    <m/>
  </r>
  <r>
    <m/>
    <x v="0"/>
    <s v="BDI Video"/>
    <s v="V5-Trimmed"/>
    <n v="250"/>
    <n v="2"/>
    <x v="4"/>
    <x v="2"/>
    <m/>
    <m/>
    <m/>
    <m/>
  </r>
  <r>
    <m/>
    <x v="0"/>
    <s v="BDI Video"/>
    <s v="V7- Trimmed"/>
    <n v="60"/>
    <n v="1"/>
    <x v="1"/>
    <x v="3"/>
    <m/>
    <m/>
    <m/>
    <m/>
  </r>
  <r>
    <m/>
    <x v="0"/>
    <s v="BDI Video"/>
    <s v="V7- Trimmed"/>
    <n v="60"/>
    <n v="2"/>
    <x v="2"/>
    <x v="1"/>
    <m/>
    <m/>
    <m/>
    <m/>
  </r>
  <r>
    <m/>
    <x v="0"/>
    <s v="BDI Video"/>
    <s v="V7- Trimmed"/>
    <n v="160"/>
    <n v="1"/>
    <x v="0"/>
    <x v="0"/>
    <s v="not a target"/>
    <m/>
    <m/>
    <m/>
  </r>
  <r>
    <m/>
    <x v="0"/>
    <s v="BDI Video"/>
    <s v="V7- Trimmed"/>
    <n v="180"/>
    <n v="1"/>
    <x v="0"/>
    <x v="0"/>
    <s v="not a target"/>
    <m/>
    <m/>
    <m/>
  </r>
  <r>
    <m/>
    <x v="0"/>
    <s v="BDI Video"/>
    <s v="V7- Trimmed"/>
    <n v="210"/>
    <n v="1"/>
    <x v="1"/>
    <x v="3"/>
    <m/>
    <m/>
    <m/>
    <m/>
  </r>
  <r>
    <m/>
    <x v="0"/>
    <s v="BDI Video"/>
    <s v="V7- Trimmed"/>
    <n v="210"/>
    <n v="2"/>
    <x v="3"/>
    <x v="2"/>
    <m/>
    <m/>
    <m/>
    <m/>
  </r>
  <r>
    <m/>
    <x v="0"/>
    <s v="BDI Video"/>
    <s v="V7- Trimmed"/>
    <n v="250"/>
    <n v="1"/>
    <x v="1"/>
    <x v="3"/>
    <m/>
    <m/>
    <m/>
    <m/>
  </r>
  <r>
    <m/>
    <x v="0"/>
    <s v="BDI Video"/>
    <s v="V7- Trimmed"/>
    <n v="250"/>
    <n v="2"/>
    <x v="2"/>
    <x v="3"/>
    <m/>
    <m/>
    <m/>
    <m/>
  </r>
  <r>
    <m/>
    <x v="0"/>
    <s v="BDI Video"/>
    <s v="V7- Trimmed"/>
    <n v="250"/>
    <n v="3"/>
    <x v="2"/>
    <x v="3"/>
    <m/>
    <m/>
    <m/>
    <m/>
  </r>
  <r>
    <m/>
    <x v="0"/>
    <s v="BDI Video"/>
    <s v="V7- Trimmed"/>
    <n v="270"/>
    <n v="1"/>
    <x v="4"/>
    <x v="2"/>
    <m/>
    <m/>
    <m/>
    <m/>
  </r>
  <r>
    <m/>
    <x v="0"/>
    <s v="BDI Video"/>
    <s v="V7- Trimmed"/>
    <n v="280"/>
    <n v="1"/>
    <x v="1"/>
    <x v="3"/>
    <m/>
    <m/>
    <m/>
    <m/>
  </r>
  <r>
    <m/>
    <x v="0"/>
    <s v="BDI Video"/>
    <s v="V7- Trimmed"/>
    <n v="280"/>
    <n v="2"/>
    <x v="4"/>
    <x v="2"/>
    <m/>
    <m/>
    <m/>
    <m/>
  </r>
  <r>
    <m/>
    <x v="0"/>
    <s v="BDI Video"/>
    <s v="V7- Trimmed"/>
    <n v="310"/>
    <n v="1"/>
    <x v="4"/>
    <x v="2"/>
    <m/>
    <m/>
    <m/>
    <m/>
  </r>
  <r>
    <m/>
    <x v="0"/>
    <s v="BDI Video"/>
    <s v="V7- Trimmed"/>
    <n v="320"/>
    <n v="1"/>
    <x v="4"/>
    <x v="2"/>
    <m/>
    <m/>
    <m/>
    <m/>
  </r>
  <r>
    <m/>
    <x v="0"/>
    <s v="BDI Video"/>
    <s v="V7- Trimmed"/>
    <n v="320"/>
    <n v="2"/>
    <x v="2"/>
    <x v="3"/>
    <m/>
    <m/>
    <m/>
    <m/>
  </r>
  <r>
    <m/>
    <x v="0"/>
    <s v="BDI Video"/>
    <s v="V7- Trimmed"/>
    <n v="320"/>
    <n v="3"/>
    <x v="2"/>
    <x v="1"/>
    <m/>
    <m/>
    <m/>
    <m/>
  </r>
  <r>
    <m/>
    <x v="0"/>
    <s v="BDI Video"/>
    <s v="V7- Trimmed"/>
    <n v="330"/>
    <n v="1"/>
    <x v="4"/>
    <x v="2"/>
    <m/>
    <m/>
    <m/>
    <m/>
  </r>
  <r>
    <m/>
    <x v="0"/>
    <s v="BDI Video"/>
    <s v="V7- Trimmed"/>
    <n v="330"/>
    <n v="2"/>
    <x v="4"/>
    <x v="2"/>
    <m/>
    <m/>
    <m/>
    <m/>
  </r>
  <r>
    <m/>
    <x v="0"/>
    <s v="BDI Video"/>
    <s v="V7- Trimmed"/>
    <n v="340"/>
    <n v="1"/>
    <x v="1"/>
    <x v="3"/>
    <m/>
    <m/>
    <m/>
    <m/>
  </r>
  <r>
    <m/>
    <x v="0"/>
    <s v="BDI Video"/>
    <s v="V7- Trimmed"/>
    <n v="340"/>
    <n v="2"/>
    <x v="1"/>
    <x v="1"/>
    <m/>
    <m/>
    <m/>
    <m/>
  </r>
  <r>
    <m/>
    <x v="0"/>
    <s v="BDI Video"/>
    <s v="V7- Trimmed"/>
    <n v="380"/>
    <n v="1"/>
    <x v="1"/>
    <x v="3"/>
    <m/>
    <m/>
    <m/>
    <m/>
  </r>
  <r>
    <m/>
    <x v="0"/>
    <s v="BDI Video"/>
    <s v="V7- Trimmed"/>
    <n v="380"/>
    <n v="2"/>
    <x v="3"/>
    <x v="2"/>
    <m/>
    <m/>
    <m/>
    <m/>
  </r>
  <r>
    <m/>
    <x v="0"/>
    <s v="BDI Video"/>
    <s v="V7- Trimmed"/>
    <n v="400"/>
    <n v="1"/>
    <x v="1"/>
    <x v="3"/>
    <m/>
    <m/>
    <m/>
    <m/>
  </r>
  <r>
    <m/>
    <x v="0"/>
    <s v="BDI Video"/>
    <s v="V7- Trimmed"/>
    <n v="400"/>
    <n v="2"/>
    <x v="2"/>
    <x v="1"/>
    <m/>
    <m/>
    <m/>
    <m/>
  </r>
  <r>
    <m/>
    <x v="0"/>
    <s v="BDI Video"/>
    <s v="V7- Trimmed"/>
    <n v="410"/>
    <n v="1"/>
    <x v="2"/>
    <x v="3"/>
    <m/>
    <m/>
    <m/>
    <m/>
  </r>
  <r>
    <m/>
    <x v="0"/>
    <s v="BDI Video"/>
    <s v="V7- Trimmed"/>
    <n v="410"/>
    <n v="2"/>
    <x v="1"/>
    <x v="3"/>
    <m/>
    <m/>
    <m/>
    <m/>
  </r>
  <r>
    <m/>
    <x v="0"/>
    <s v="BDI Video"/>
    <s v="V7- Trimmed"/>
    <n v="440"/>
    <n v="1"/>
    <x v="1"/>
    <x v="3"/>
    <m/>
    <m/>
    <m/>
    <m/>
  </r>
  <r>
    <m/>
    <x v="0"/>
    <s v="BDI Video"/>
    <s v="V7- Trimmed"/>
    <n v="440"/>
    <n v="2"/>
    <x v="2"/>
    <x v="1"/>
    <m/>
    <m/>
    <m/>
    <m/>
  </r>
  <r>
    <m/>
    <x v="0"/>
    <s v="BDI Video"/>
    <s v="V7- Trimmed"/>
    <n v="450"/>
    <n v="1"/>
    <x v="1"/>
    <x v="3"/>
    <m/>
    <m/>
    <m/>
    <m/>
  </r>
  <r>
    <m/>
    <x v="0"/>
    <s v="BDI Video"/>
    <s v="V7- Trimmed"/>
    <n v="450"/>
    <n v="2"/>
    <x v="2"/>
    <x v="1"/>
    <m/>
    <m/>
    <m/>
    <m/>
  </r>
  <r>
    <m/>
    <x v="0"/>
    <s v="BDI Video"/>
    <s v="V7- Trimmed"/>
    <n v="460"/>
    <n v="1"/>
    <x v="1"/>
    <x v="3"/>
    <m/>
    <m/>
    <m/>
    <m/>
  </r>
  <r>
    <m/>
    <x v="0"/>
    <s v="BDI Video"/>
    <s v="V7- Trimmed"/>
    <n v="460"/>
    <n v="2"/>
    <x v="3"/>
    <x v="2"/>
    <m/>
    <m/>
    <m/>
    <m/>
  </r>
  <r>
    <m/>
    <x v="0"/>
    <s v="BDI Video"/>
    <s v="V7- Trimmed"/>
    <n v="530"/>
    <n v="1"/>
    <x v="4"/>
    <x v="2"/>
    <m/>
    <m/>
    <m/>
    <m/>
  </r>
  <r>
    <m/>
    <x v="0"/>
    <s v="BDI Video"/>
    <s v="V7- Trimmed"/>
    <n v="530"/>
    <n v="2"/>
    <x v="3"/>
    <x v="2"/>
    <m/>
    <m/>
    <m/>
    <m/>
  </r>
  <r>
    <m/>
    <x v="0"/>
    <s v="BDI Video"/>
    <s v="V7- Trimmed"/>
    <n v="540"/>
    <n v="1"/>
    <x v="1"/>
    <x v="3"/>
    <m/>
    <m/>
    <m/>
    <m/>
  </r>
  <r>
    <m/>
    <x v="0"/>
    <s v="BDI Video"/>
    <s v="V7- Trimmed"/>
    <n v="540"/>
    <n v="2"/>
    <x v="2"/>
    <x v="1"/>
    <m/>
    <m/>
    <m/>
    <m/>
  </r>
  <r>
    <m/>
    <x v="0"/>
    <s v="BDI Video"/>
    <s v="V7- Trimmed"/>
    <n v="550"/>
    <n v="1"/>
    <x v="1"/>
    <x v="3"/>
    <m/>
    <m/>
    <m/>
    <m/>
  </r>
  <r>
    <m/>
    <x v="0"/>
    <s v="BDI Video"/>
    <s v="V7- Trimmed"/>
    <n v="600"/>
    <n v="1"/>
    <x v="1"/>
    <x v="3"/>
    <m/>
    <m/>
    <m/>
    <m/>
  </r>
  <r>
    <m/>
    <x v="0"/>
    <s v="BDI Video"/>
    <s v="V7- Trimmed"/>
    <n v="600"/>
    <n v="2"/>
    <x v="2"/>
    <x v="1"/>
    <m/>
    <m/>
    <m/>
    <m/>
  </r>
  <r>
    <m/>
    <x v="0"/>
    <s v="BDI Video"/>
    <s v="V7- Trimmed"/>
    <n v="610"/>
    <n v="1"/>
    <x v="4"/>
    <x v="2"/>
    <m/>
    <m/>
    <m/>
    <m/>
  </r>
  <r>
    <m/>
    <x v="0"/>
    <s v="BDI Video"/>
    <s v="V7- Trimmed"/>
    <n v="610"/>
    <n v="2"/>
    <x v="1"/>
    <x v="3"/>
    <m/>
    <m/>
    <m/>
    <m/>
  </r>
  <r>
    <m/>
    <x v="0"/>
    <s v="BDI Video"/>
    <s v="V7- Trimmed"/>
    <n v="620"/>
    <n v="1"/>
    <x v="2"/>
    <x v="3"/>
    <m/>
    <m/>
    <m/>
    <m/>
  </r>
  <r>
    <m/>
    <x v="0"/>
    <s v="BDI Video"/>
    <s v="V7- Trimmed"/>
    <n v="620"/>
    <n v="2"/>
    <x v="1"/>
    <x v="3"/>
    <m/>
    <m/>
    <m/>
    <m/>
  </r>
  <r>
    <m/>
    <x v="0"/>
    <s v="BDI Video"/>
    <s v="V7- Trimmed"/>
    <n v="620"/>
    <n v="3"/>
    <x v="3"/>
    <x v="2"/>
    <m/>
    <m/>
    <m/>
    <m/>
  </r>
  <r>
    <m/>
    <x v="0"/>
    <s v="BDI Video"/>
    <s v="V7- Trimmed"/>
    <n v="670"/>
    <n v="1"/>
    <x v="1"/>
    <x v="1"/>
    <m/>
    <m/>
    <m/>
    <m/>
  </r>
  <r>
    <m/>
    <x v="0"/>
    <s v="BDI Video"/>
    <s v="V7- Trimmed"/>
    <n v="710"/>
    <n v="1"/>
    <x v="1"/>
    <x v="3"/>
    <m/>
    <m/>
    <m/>
    <m/>
  </r>
  <r>
    <m/>
    <x v="0"/>
    <s v="BDI Video"/>
    <s v="V7- Trimmed"/>
    <n v="720"/>
    <n v="1"/>
    <x v="1"/>
    <x v="1"/>
    <m/>
    <m/>
    <m/>
    <m/>
  </r>
  <r>
    <m/>
    <x v="0"/>
    <s v="BDI Video"/>
    <s v="V7- Trimmed"/>
    <n v="780"/>
    <n v="1"/>
    <x v="4"/>
    <x v="2"/>
    <m/>
    <m/>
    <m/>
    <m/>
  </r>
  <r>
    <m/>
    <x v="0"/>
    <s v="BDI Video"/>
    <s v="V7- Trimmed"/>
    <n v="780"/>
    <n v="2"/>
    <x v="1"/>
    <x v="1"/>
    <m/>
    <m/>
    <m/>
    <m/>
  </r>
  <r>
    <m/>
    <x v="0"/>
    <s v="BDI Video"/>
    <s v="V7- Trimmed"/>
    <n v="820"/>
    <n v="1"/>
    <x v="1"/>
    <x v="3"/>
    <m/>
    <m/>
    <m/>
    <m/>
  </r>
  <r>
    <m/>
    <x v="0"/>
    <s v="BDI Video"/>
    <s v="V7- Trimmed"/>
    <n v="820"/>
    <n v="2"/>
    <x v="3"/>
    <x v="2"/>
    <m/>
    <m/>
    <m/>
    <m/>
  </r>
  <r>
    <m/>
    <x v="0"/>
    <s v="BDI Video"/>
    <s v="V7- Trimmed"/>
    <n v="820"/>
    <n v="3"/>
    <x v="2"/>
    <x v="1"/>
    <m/>
    <m/>
    <m/>
    <m/>
  </r>
  <r>
    <m/>
    <x v="0"/>
    <s v="BDI Video"/>
    <s v="V7- Trimmed"/>
    <n v="840"/>
    <n v="1"/>
    <x v="4"/>
    <x v="2"/>
    <m/>
    <m/>
    <m/>
    <m/>
  </r>
  <r>
    <m/>
    <x v="0"/>
    <s v="BDI Video"/>
    <s v="V7- Trimmed"/>
    <n v="840"/>
    <n v="2"/>
    <x v="2"/>
    <x v="3"/>
    <m/>
    <m/>
    <m/>
    <m/>
  </r>
  <r>
    <m/>
    <x v="0"/>
    <s v="BDI Video"/>
    <s v="V7- Trimmed"/>
    <n v="920"/>
    <n v="1"/>
    <x v="1"/>
    <x v="3"/>
    <m/>
    <m/>
    <m/>
    <m/>
  </r>
  <r>
    <m/>
    <x v="0"/>
    <s v="BDI Video"/>
    <s v="V7- Trimmed"/>
    <n v="920"/>
    <n v="2"/>
    <x v="2"/>
    <x v="3"/>
    <m/>
    <m/>
    <m/>
    <m/>
  </r>
  <r>
    <m/>
    <x v="0"/>
    <s v="BDI Video"/>
    <s v="V7- Trimmed"/>
    <n v="930"/>
    <n v="1"/>
    <x v="2"/>
    <x v="3"/>
    <m/>
    <m/>
    <m/>
    <m/>
  </r>
  <r>
    <m/>
    <x v="0"/>
    <s v="BDI Video"/>
    <s v="V7- Trimmed"/>
    <n v="930"/>
    <n v="2"/>
    <x v="1"/>
    <x v="3"/>
    <m/>
    <m/>
    <m/>
    <m/>
  </r>
  <r>
    <m/>
    <x v="0"/>
    <s v="BDI Video"/>
    <s v="V7- Trimmed"/>
    <n v="930"/>
    <n v="3"/>
    <x v="2"/>
    <x v="3"/>
    <m/>
    <m/>
    <m/>
    <m/>
  </r>
  <r>
    <m/>
    <x v="0"/>
    <s v="BDI Video"/>
    <s v="V7- Trimmed"/>
    <n v="940"/>
    <n v="1"/>
    <x v="2"/>
    <x v="3"/>
    <m/>
    <m/>
    <m/>
    <m/>
  </r>
  <r>
    <m/>
    <x v="0"/>
    <s v="BDI Video"/>
    <s v="V7- Trimmed"/>
    <n v="940"/>
    <n v="2"/>
    <x v="1"/>
    <x v="3"/>
    <m/>
    <m/>
    <m/>
    <m/>
  </r>
  <r>
    <m/>
    <x v="0"/>
    <s v="BDI Video"/>
    <s v="V7- Trimmed"/>
    <n v="940"/>
    <n v="3"/>
    <x v="2"/>
    <x v="3"/>
    <m/>
    <m/>
    <m/>
    <m/>
  </r>
  <r>
    <m/>
    <x v="0"/>
    <s v="BDI Video"/>
    <s v="V7- Trimmed"/>
    <n v="950"/>
    <n v="1"/>
    <x v="2"/>
    <x v="3"/>
    <m/>
    <m/>
    <m/>
    <m/>
  </r>
  <r>
    <m/>
    <x v="0"/>
    <s v="BDI Video"/>
    <s v="V7- Trimmed"/>
    <n v="950"/>
    <n v="2"/>
    <x v="1"/>
    <x v="3"/>
    <m/>
    <m/>
    <m/>
    <m/>
  </r>
  <r>
    <m/>
    <x v="0"/>
    <s v="BDI Video"/>
    <s v="V7- Trimmed"/>
    <n v="950"/>
    <n v="3"/>
    <x v="2"/>
    <x v="1"/>
    <m/>
    <m/>
    <m/>
    <m/>
  </r>
  <r>
    <m/>
    <x v="0"/>
    <s v="BDI Video"/>
    <s v="V7- Trimmed"/>
    <n v="980"/>
    <n v="1"/>
    <x v="2"/>
    <x v="3"/>
    <m/>
    <m/>
    <m/>
    <m/>
  </r>
  <r>
    <m/>
    <x v="0"/>
    <s v="BDI Video"/>
    <s v="V7- Trimmed"/>
    <n v="980"/>
    <n v="2"/>
    <x v="1"/>
    <x v="3"/>
    <m/>
    <m/>
    <m/>
    <m/>
  </r>
  <r>
    <m/>
    <x v="0"/>
    <s v="BDI Video"/>
    <s v="V7- Trimmed"/>
    <n v="980"/>
    <n v="3"/>
    <x v="2"/>
    <x v="3"/>
    <m/>
    <m/>
    <m/>
    <m/>
  </r>
  <r>
    <m/>
    <x v="0"/>
    <s v="BDI Video"/>
    <s v="V7- Trimmed"/>
    <n v="990"/>
    <n v="1"/>
    <x v="1"/>
    <x v="3"/>
    <m/>
    <m/>
    <m/>
    <m/>
  </r>
  <r>
    <m/>
    <x v="0"/>
    <s v="BDI Video"/>
    <s v="V7- Trimmed"/>
    <n v="990"/>
    <n v="2"/>
    <x v="2"/>
    <x v="3"/>
    <m/>
    <m/>
    <m/>
    <m/>
  </r>
  <r>
    <m/>
    <x v="0"/>
    <s v="BDI Video"/>
    <s v="V7- Trimmed"/>
    <n v="990"/>
    <n v="3"/>
    <x v="4"/>
    <x v="3"/>
    <m/>
    <m/>
    <m/>
    <m/>
  </r>
  <r>
    <m/>
    <x v="0"/>
    <s v="BDI Video"/>
    <s v="V7- Trimmed"/>
    <n v="1000"/>
    <n v="1"/>
    <x v="2"/>
    <x v="3"/>
    <m/>
    <m/>
    <m/>
    <m/>
  </r>
  <r>
    <m/>
    <x v="0"/>
    <s v="BDI Video"/>
    <s v="V7- Trimmed"/>
    <n v="1000"/>
    <n v="2"/>
    <x v="1"/>
    <x v="3"/>
    <m/>
    <m/>
    <m/>
    <m/>
  </r>
  <r>
    <m/>
    <x v="0"/>
    <s v="BDI Video"/>
    <s v="V7- Trimmed"/>
    <n v="1000"/>
    <n v="3"/>
    <x v="3"/>
    <x v="2"/>
    <m/>
    <m/>
    <m/>
    <m/>
  </r>
  <r>
    <m/>
    <x v="0"/>
    <s v="BDI Video"/>
    <s v="V7- Trimmed"/>
    <n v="1010"/>
    <n v="1"/>
    <x v="2"/>
    <x v="3"/>
    <m/>
    <m/>
    <m/>
    <m/>
  </r>
  <r>
    <m/>
    <x v="0"/>
    <s v="BDI Video"/>
    <s v="V7- Trimmed"/>
    <n v="1010"/>
    <n v="2"/>
    <x v="1"/>
    <x v="3"/>
    <m/>
    <m/>
    <m/>
    <m/>
  </r>
  <r>
    <m/>
    <x v="0"/>
    <s v="BDI Video"/>
    <s v="V7- Trimmed"/>
    <n v="1010"/>
    <n v="3"/>
    <x v="3"/>
    <x v="2"/>
    <m/>
    <m/>
    <m/>
    <m/>
  </r>
  <r>
    <m/>
    <x v="0"/>
    <s v="BDI Video"/>
    <s v="V7- Trimmed"/>
    <n v="1010"/>
    <n v="4"/>
    <x v="4"/>
    <x v="2"/>
    <m/>
    <m/>
    <m/>
    <m/>
  </r>
  <r>
    <m/>
    <x v="0"/>
    <s v="BDI Video"/>
    <s v="V7- Trimmed"/>
    <n v="1030"/>
    <n v="1"/>
    <x v="1"/>
    <x v="3"/>
    <m/>
    <m/>
    <m/>
    <m/>
  </r>
  <r>
    <m/>
    <x v="0"/>
    <s v="BDI Video"/>
    <s v="V7- Trimmed"/>
    <n v="1030"/>
    <n v="2"/>
    <x v="2"/>
    <x v="1"/>
    <m/>
    <m/>
    <m/>
    <m/>
  </r>
  <r>
    <m/>
    <x v="0"/>
    <s v="BDI Video"/>
    <s v="V7- Trimmed"/>
    <n v="1050"/>
    <n v="1"/>
    <x v="2"/>
    <x v="3"/>
    <m/>
    <m/>
    <m/>
    <m/>
  </r>
  <r>
    <m/>
    <x v="0"/>
    <s v="BDI Video"/>
    <s v="V7- Trimmed"/>
    <n v="1050"/>
    <n v="2"/>
    <x v="1"/>
    <x v="3"/>
    <m/>
    <m/>
    <m/>
    <m/>
  </r>
  <r>
    <m/>
    <x v="0"/>
    <s v="BDI Video"/>
    <s v="V7- Trimmed"/>
    <n v="1050"/>
    <n v="3"/>
    <x v="2"/>
    <x v="1"/>
    <m/>
    <m/>
    <m/>
    <m/>
  </r>
  <r>
    <m/>
    <x v="0"/>
    <s v="BDI Video"/>
    <s v="V7- Trimmed"/>
    <n v="1060"/>
    <n v="1"/>
    <x v="1"/>
    <x v="3"/>
    <m/>
    <m/>
    <m/>
    <m/>
  </r>
  <r>
    <m/>
    <x v="0"/>
    <s v="BDI Video"/>
    <s v="V7- Trimmed"/>
    <n v="1060"/>
    <n v="2"/>
    <x v="2"/>
    <x v="1"/>
    <m/>
    <m/>
    <m/>
    <m/>
  </r>
  <r>
    <m/>
    <x v="0"/>
    <s v="BDI Video"/>
    <s v="V7- Trimmed"/>
    <n v="1080"/>
    <n v="1"/>
    <x v="1"/>
    <x v="3"/>
    <m/>
    <m/>
    <m/>
    <m/>
  </r>
  <r>
    <m/>
    <x v="0"/>
    <s v="BDI Video"/>
    <s v="V7- Trimmed"/>
    <n v="1080"/>
    <n v="2"/>
    <x v="2"/>
    <x v="1"/>
    <m/>
    <m/>
    <m/>
    <m/>
  </r>
  <r>
    <m/>
    <x v="0"/>
    <s v="BDI Video"/>
    <s v="V7- Trimmed"/>
    <n v="1100"/>
    <n v="1"/>
    <x v="1"/>
    <x v="3"/>
    <m/>
    <m/>
    <m/>
    <m/>
  </r>
  <r>
    <m/>
    <x v="0"/>
    <s v="BDI Video"/>
    <s v="V7- Trimmed"/>
    <n v="1100"/>
    <n v="2"/>
    <x v="3"/>
    <x v="2"/>
    <m/>
    <m/>
    <m/>
    <m/>
  </r>
  <r>
    <m/>
    <x v="0"/>
    <s v="BDI Video"/>
    <s v="V7- Trimmed"/>
    <n v="1120"/>
    <n v="1"/>
    <x v="1"/>
    <x v="3"/>
    <m/>
    <m/>
    <m/>
    <m/>
  </r>
  <r>
    <m/>
    <x v="0"/>
    <s v="BDI Video"/>
    <s v="V7- Trimmed"/>
    <n v="1120"/>
    <n v="2"/>
    <x v="3"/>
    <x v="2"/>
    <m/>
    <m/>
    <m/>
    <m/>
  </r>
  <r>
    <m/>
    <x v="0"/>
    <s v="BDI Video"/>
    <s v="V7- Trimmed"/>
    <n v="1140"/>
    <n v="1"/>
    <x v="1"/>
    <x v="3"/>
    <m/>
    <m/>
    <m/>
    <m/>
  </r>
  <r>
    <m/>
    <x v="0"/>
    <s v="BDI Video"/>
    <s v="V7- Trimmed"/>
    <n v="1140"/>
    <n v="2"/>
    <x v="2"/>
    <x v="3"/>
    <m/>
    <m/>
    <m/>
    <m/>
  </r>
  <r>
    <m/>
    <x v="0"/>
    <s v="BDI Video"/>
    <s v="V7- Trimmed"/>
    <n v="1150"/>
    <n v="1"/>
    <x v="1"/>
    <x v="3"/>
    <m/>
    <m/>
    <m/>
    <m/>
  </r>
  <r>
    <m/>
    <x v="0"/>
    <s v="BDI Video"/>
    <s v="V7- Trimmed"/>
    <n v="1150"/>
    <n v="2"/>
    <x v="3"/>
    <x v="2"/>
    <m/>
    <m/>
    <m/>
    <m/>
  </r>
  <r>
    <m/>
    <x v="0"/>
    <s v="BDI Video"/>
    <s v="V7- Trimmed"/>
    <n v="1160"/>
    <n v="1"/>
    <x v="2"/>
    <x v="3"/>
    <m/>
    <m/>
    <m/>
    <m/>
  </r>
  <r>
    <m/>
    <x v="0"/>
    <s v="BDI Video"/>
    <s v="V7- Trimmed"/>
    <n v="1160"/>
    <n v="2"/>
    <x v="1"/>
    <x v="3"/>
    <m/>
    <m/>
    <m/>
    <m/>
  </r>
  <r>
    <m/>
    <x v="0"/>
    <s v="BDI Video"/>
    <s v="V7- Trimmed"/>
    <n v="1170"/>
    <n v="1"/>
    <x v="1"/>
    <x v="3"/>
    <m/>
    <m/>
    <m/>
    <m/>
  </r>
  <r>
    <m/>
    <x v="0"/>
    <s v="BDI Video"/>
    <s v="V7- Trimmed"/>
    <n v="1170"/>
    <n v="2"/>
    <x v="2"/>
    <x v="1"/>
    <m/>
    <m/>
    <m/>
    <m/>
  </r>
  <r>
    <m/>
    <x v="0"/>
    <s v="BDI Video"/>
    <s v="V7- Trimmed"/>
    <n v="1180"/>
    <n v="1"/>
    <x v="1"/>
    <x v="3"/>
    <m/>
    <m/>
    <m/>
    <m/>
  </r>
  <r>
    <m/>
    <x v="0"/>
    <s v="BDI Video"/>
    <s v="V7- Trimmed"/>
    <n v="1180"/>
    <n v="2"/>
    <x v="2"/>
    <x v="1"/>
    <m/>
    <m/>
    <m/>
    <m/>
  </r>
  <r>
    <m/>
    <x v="0"/>
    <s v="BDI Video"/>
    <s v="V7- Trimmed"/>
    <n v="1190"/>
    <n v="1"/>
    <x v="1"/>
    <x v="3"/>
    <m/>
    <m/>
    <m/>
    <m/>
  </r>
  <r>
    <m/>
    <x v="0"/>
    <s v="BDI Video"/>
    <s v="V7- Trimmed"/>
    <n v="1190"/>
    <n v="2"/>
    <x v="3"/>
    <x v="2"/>
    <m/>
    <m/>
    <m/>
    <m/>
  </r>
  <r>
    <m/>
    <x v="0"/>
    <s v="BDI Video"/>
    <s v="V7- Trimmed"/>
    <n v="1210"/>
    <n v="1"/>
    <x v="1"/>
    <x v="3"/>
    <m/>
    <m/>
    <m/>
    <m/>
  </r>
  <r>
    <m/>
    <x v="0"/>
    <s v="BDI Video"/>
    <s v="V7- Trimmed"/>
    <n v="1210"/>
    <n v="2"/>
    <x v="1"/>
    <x v="3"/>
    <m/>
    <m/>
    <m/>
    <m/>
  </r>
  <r>
    <m/>
    <x v="0"/>
    <s v="BDI Video"/>
    <s v="V7- Trimmed"/>
    <n v="1210"/>
    <n v="3"/>
    <x v="2"/>
    <x v="1"/>
    <m/>
    <m/>
    <m/>
    <m/>
  </r>
  <r>
    <m/>
    <x v="0"/>
    <s v="BDI Video"/>
    <s v="V7- Trimmed"/>
    <n v="1220"/>
    <n v="1"/>
    <x v="1"/>
    <x v="3"/>
    <m/>
    <m/>
    <m/>
    <m/>
  </r>
  <r>
    <m/>
    <x v="0"/>
    <s v="BDI Video"/>
    <s v="V7- Trimmed"/>
    <n v="1220"/>
    <n v="2"/>
    <x v="2"/>
    <x v="1"/>
    <m/>
    <m/>
    <m/>
    <m/>
  </r>
  <r>
    <m/>
    <x v="0"/>
    <s v="BDI Video"/>
    <s v="V7- Trimmed"/>
    <n v="1230"/>
    <n v="1"/>
    <x v="1"/>
    <x v="3"/>
    <m/>
    <m/>
    <m/>
    <m/>
  </r>
  <r>
    <m/>
    <x v="0"/>
    <s v="BDI Video"/>
    <s v="V7- Trimmed"/>
    <n v="1290"/>
    <n v="1"/>
    <x v="1"/>
    <x v="3"/>
    <m/>
    <m/>
    <m/>
    <m/>
  </r>
  <r>
    <m/>
    <x v="0"/>
    <s v="BDI Video"/>
    <s v="V7- Trimmed"/>
    <n v="1290"/>
    <n v="2"/>
    <x v="2"/>
    <x v="1"/>
    <m/>
    <m/>
    <m/>
    <m/>
  </r>
  <r>
    <m/>
    <x v="0"/>
    <s v="BDI Video"/>
    <s v="V7- Trimmed"/>
    <n v="1320"/>
    <n v="1"/>
    <x v="1"/>
    <x v="3"/>
    <m/>
    <m/>
    <m/>
    <m/>
  </r>
  <r>
    <m/>
    <x v="0"/>
    <s v="BDI Video"/>
    <s v="V7- Trimmed"/>
    <n v="1320"/>
    <n v="2"/>
    <x v="3"/>
    <x v="2"/>
    <m/>
    <m/>
    <m/>
    <m/>
  </r>
  <r>
    <m/>
    <x v="0"/>
    <s v="BDI Video"/>
    <s v="V7- Trimmed"/>
    <n v="1330"/>
    <n v="1"/>
    <x v="1"/>
    <x v="3"/>
    <m/>
    <m/>
    <m/>
    <m/>
  </r>
  <r>
    <m/>
    <x v="0"/>
    <s v="BDI Video"/>
    <s v="V7- Trimmed"/>
    <n v="1330"/>
    <n v="2"/>
    <x v="1"/>
    <x v="3"/>
    <m/>
    <m/>
    <m/>
    <m/>
  </r>
  <r>
    <m/>
    <x v="0"/>
    <s v="BDI Video"/>
    <s v="V7- Trimmed"/>
    <n v="1330"/>
    <n v="3"/>
    <x v="3"/>
    <x v="2"/>
    <m/>
    <m/>
    <m/>
    <m/>
  </r>
  <r>
    <m/>
    <x v="0"/>
    <s v="BDI Video"/>
    <s v="V7- Trimmed"/>
    <n v="1390"/>
    <n v="1"/>
    <x v="4"/>
    <x v="2"/>
    <m/>
    <m/>
    <m/>
    <m/>
  </r>
  <r>
    <m/>
    <x v="0"/>
    <s v="BDI Video"/>
    <s v="V7- Trimmed"/>
    <n v="1390"/>
    <n v="2"/>
    <x v="2"/>
    <x v="1"/>
    <m/>
    <m/>
    <m/>
    <m/>
  </r>
  <r>
    <m/>
    <x v="0"/>
    <s v="BDI Video"/>
    <s v="V7- Trimmed"/>
    <n v="1420"/>
    <n v="1"/>
    <x v="2"/>
    <x v="3"/>
    <m/>
    <s v="grasper"/>
    <s v="retract-grab"/>
    <s v="left"/>
  </r>
  <r>
    <m/>
    <x v="0"/>
    <s v="BDI Video"/>
    <s v="V7- Trimmed"/>
    <n v="1420"/>
    <n v="2"/>
    <x v="2"/>
    <x v="1"/>
    <m/>
    <s v="cautery"/>
    <s v="other"/>
    <s v="right"/>
  </r>
  <r>
    <m/>
    <x v="0"/>
    <s v="BDI Video"/>
    <s v="V7- Trimmed"/>
    <n v="1420"/>
    <n v="3"/>
    <x v="1"/>
    <x v="1"/>
    <m/>
    <s v="grasper"/>
    <s v="retract-grab"/>
    <s v="left"/>
  </r>
  <r>
    <m/>
    <x v="0"/>
    <s v="BDI Video"/>
    <s v="V7- Trimmed"/>
    <n v="1470"/>
    <n v="1"/>
    <x v="1"/>
    <x v="1"/>
    <m/>
    <s v="grasper"/>
    <s v="retract-grab"/>
    <s v="left"/>
  </r>
  <r>
    <m/>
    <x v="0"/>
    <s v="BDI Video"/>
    <s v="V7- Trimmed"/>
    <n v="1480"/>
    <n v="1"/>
    <x v="1"/>
    <x v="3"/>
    <m/>
    <s v="G"/>
    <s v="RG"/>
    <s v="left"/>
  </r>
  <r>
    <m/>
    <x v="0"/>
    <s v="BDI Video"/>
    <s v="V7- Trimmed"/>
    <n v="1480"/>
    <n v="2"/>
    <x v="2"/>
    <x v="1"/>
    <m/>
    <s v="Suction"/>
    <s v="suction"/>
    <s v="right"/>
  </r>
  <r>
    <m/>
    <x v="0"/>
    <s v="BDI Video"/>
    <s v="V7- Trimmed"/>
    <n v="1500"/>
    <n v="1"/>
    <x v="1"/>
    <x v="3"/>
    <m/>
    <s v="G"/>
    <s v="RG"/>
    <s v="left"/>
  </r>
  <r>
    <m/>
    <x v="0"/>
    <s v="BDI Video"/>
    <s v="V7- Trimmed"/>
    <n v="1500"/>
    <n v="2"/>
    <x v="1"/>
    <x v="1"/>
    <m/>
    <s v="G2"/>
    <s v="RG"/>
    <s v="left"/>
  </r>
  <r>
    <m/>
    <x v="0"/>
    <s v="BDI Video"/>
    <s v="V7- Trimmed"/>
    <n v="1540"/>
    <n v="1"/>
    <x v="1"/>
    <x v="3"/>
    <m/>
    <s v="G"/>
    <s v="RG"/>
    <s v="left"/>
  </r>
  <r>
    <m/>
    <x v="0"/>
    <s v="BDI Video"/>
    <s v="V7- Trimmed"/>
    <n v="1540"/>
    <n v="2"/>
    <x v="2"/>
    <x v="1"/>
    <m/>
    <s v="cautery"/>
    <s v="other"/>
    <s v="right"/>
  </r>
  <r>
    <m/>
    <x v="0"/>
    <s v="BDI Video"/>
    <s v="V7- Trimmed"/>
    <n v="1580"/>
    <n v="1"/>
    <x v="1"/>
    <x v="3"/>
    <m/>
    <s v="G"/>
    <s v="RG"/>
    <s v="left"/>
  </r>
  <r>
    <m/>
    <x v="0"/>
    <s v="BDI Video"/>
    <s v="V7- Trimmed"/>
    <n v="1580"/>
    <n v="2"/>
    <x v="2"/>
    <x v="1"/>
    <m/>
    <s v="Suction"/>
    <s v="blunt dissection"/>
    <s v="right"/>
  </r>
  <r>
    <m/>
    <x v="0"/>
    <s v="BDI Video"/>
    <s v="V7- Trimmed"/>
    <n v="1590"/>
    <n v="1"/>
    <x v="1"/>
    <x v="3"/>
    <m/>
    <s v="G"/>
    <s v="RG"/>
    <s v="left"/>
  </r>
  <r>
    <m/>
    <x v="0"/>
    <s v="BDI Video"/>
    <s v="V7- Trimmed"/>
    <n v="1590"/>
    <n v="2"/>
    <x v="2"/>
    <x v="1"/>
    <m/>
    <s v="cautery"/>
    <s v="other"/>
    <s v="right"/>
  </r>
  <r>
    <m/>
    <x v="0"/>
    <s v="BDI Video"/>
    <s v="V7- Trimmed"/>
    <n v="1600"/>
    <n v="1"/>
    <x v="1"/>
    <x v="3"/>
    <m/>
    <s v="G"/>
    <s v="RG"/>
    <s v="left"/>
  </r>
  <r>
    <m/>
    <x v="0"/>
    <s v="BDI Video"/>
    <s v="V7- Trimmed"/>
    <n v="1600"/>
    <n v="2"/>
    <x v="2"/>
    <x v="1"/>
    <m/>
    <s v="Suction"/>
    <s v="other"/>
    <s v="right"/>
  </r>
  <r>
    <m/>
    <x v="0"/>
    <s v="BDI Video"/>
    <s v="V7- Trimmed"/>
    <n v="1610"/>
    <n v="1"/>
    <x v="2"/>
    <x v="3"/>
    <m/>
    <s v="G"/>
    <s v="RG"/>
    <s v="left"/>
  </r>
  <r>
    <m/>
    <x v="0"/>
    <s v="BDI Video"/>
    <s v="V7- Trimmed"/>
    <n v="1610"/>
    <n v="2"/>
    <x v="1"/>
    <x v="3"/>
    <m/>
    <s v="G2"/>
    <s v="RG"/>
    <s v="left"/>
  </r>
  <r>
    <m/>
    <x v="0"/>
    <s v="BDI Video"/>
    <s v="V7- Trimmed"/>
    <n v="1620"/>
    <n v="1"/>
    <x v="2"/>
    <x v="3"/>
    <m/>
    <s v="G"/>
    <s v="RG"/>
    <s v="left"/>
  </r>
  <r>
    <m/>
    <x v="0"/>
    <s v="BDI Video"/>
    <s v="V7- Trimmed"/>
    <n v="1620"/>
    <n v="2"/>
    <x v="1"/>
    <x v="3"/>
    <m/>
    <s v="G2"/>
    <s v="RG"/>
    <s v="left"/>
  </r>
  <r>
    <m/>
    <x v="0"/>
    <s v="BDI Video"/>
    <s v="V7- Trimmed"/>
    <n v="1620"/>
    <n v="3"/>
    <x v="2"/>
    <x v="1"/>
    <m/>
    <s v="peanut"/>
    <s v="blunt dissection"/>
    <s v="right"/>
  </r>
  <r>
    <m/>
    <x v="0"/>
    <s v="BDI Video"/>
    <s v="V7- Trimmed"/>
    <n v="1640"/>
    <n v="1"/>
    <x v="1"/>
    <x v="3"/>
    <m/>
    <s v="G"/>
    <s v="RG"/>
    <s v="left"/>
  </r>
  <r>
    <m/>
    <x v="0"/>
    <s v="BDI Video"/>
    <s v="V7- Trimmed"/>
    <n v="1640"/>
    <n v="2"/>
    <x v="4"/>
    <x v="2"/>
    <m/>
    <s v="G2"/>
    <s v="floating"/>
    <s v="left"/>
  </r>
  <r>
    <m/>
    <x v="0"/>
    <s v="BDI Video"/>
    <s v="V7- Trimmed"/>
    <n v="1640"/>
    <n v="3"/>
    <x v="2"/>
    <x v="1"/>
    <m/>
    <s v="peanut"/>
    <s v="blunt dissection"/>
    <s v="right"/>
  </r>
  <r>
    <m/>
    <x v="0"/>
    <s v="BDI Video"/>
    <s v="V7- Trimmed"/>
    <n v="1650"/>
    <n v="1"/>
    <x v="1"/>
    <x v="3"/>
    <m/>
    <s v="G"/>
    <s v="RG"/>
    <s v="left"/>
  </r>
  <r>
    <m/>
    <x v="0"/>
    <s v="BDI Video"/>
    <s v="V7- Trimmed"/>
    <n v="1650"/>
    <n v="2"/>
    <x v="2"/>
    <x v="3"/>
    <m/>
    <s v="G2"/>
    <s v="RG"/>
    <s v="left"/>
  </r>
  <r>
    <m/>
    <x v="0"/>
    <s v="BDI Video"/>
    <s v="V7- Trimmed"/>
    <n v="1650"/>
    <n v="3"/>
    <x v="2"/>
    <x v="1"/>
    <m/>
    <s v="peanut"/>
    <s v="blunt dissection"/>
    <s v="right"/>
  </r>
  <r>
    <m/>
    <x v="0"/>
    <s v="BDI Video"/>
    <s v="V7- Trimmed"/>
    <n v="1660"/>
    <n v="1"/>
    <x v="2"/>
    <x v="3"/>
    <m/>
    <s v="G"/>
    <s v="RG"/>
    <s v="left"/>
  </r>
  <r>
    <m/>
    <x v="0"/>
    <s v="BDI Video"/>
    <s v="V7- Trimmed"/>
    <n v="1660"/>
    <n v="2"/>
    <x v="1"/>
    <x v="1"/>
    <m/>
    <s v="peanut"/>
    <s v="blunt dissection"/>
    <s v="right"/>
  </r>
  <r>
    <m/>
    <x v="0"/>
    <s v="BDI Video"/>
    <s v="V7- Trimmed"/>
    <n v="1670"/>
    <n v="1"/>
    <x v="2"/>
    <x v="3"/>
    <m/>
    <s v="G"/>
    <s v="RG"/>
    <s v="left"/>
  </r>
  <r>
    <m/>
    <x v="0"/>
    <s v="BDI Video"/>
    <s v="V7- Trimmed"/>
    <n v="1670"/>
    <n v="2"/>
    <x v="1"/>
    <x v="3"/>
    <m/>
    <s v="G2"/>
    <s v="RG"/>
    <s v="left"/>
  </r>
  <r>
    <m/>
    <x v="0"/>
    <s v="BDI Video"/>
    <s v="V7- Trimmed"/>
    <n v="1670"/>
    <n v="3"/>
    <x v="1"/>
    <x v="1"/>
    <m/>
    <s v="peanut"/>
    <s v="blunt dissection"/>
    <s v="right"/>
  </r>
  <r>
    <m/>
    <x v="0"/>
    <s v="BDI Video"/>
    <s v="V7- Trimmed"/>
    <n v="1690"/>
    <n v="1"/>
    <x v="2"/>
    <x v="3"/>
    <m/>
    <s v="G"/>
    <s v="RG"/>
    <s v="left"/>
  </r>
  <r>
    <m/>
    <x v="0"/>
    <s v="BDI Video"/>
    <s v="V7- Trimmed"/>
    <n v="1690"/>
    <n v="2"/>
    <x v="1"/>
    <x v="3"/>
    <m/>
    <s v="G2"/>
    <s v="RG"/>
    <s v="left"/>
  </r>
  <r>
    <m/>
    <x v="0"/>
    <s v="BDI Video"/>
    <s v="V7- Trimmed"/>
    <n v="1690"/>
    <n v="3"/>
    <x v="2"/>
    <x v="1"/>
    <m/>
    <s v="Suction"/>
    <s v="other"/>
    <s v="right"/>
  </r>
  <r>
    <m/>
    <x v="0"/>
    <s v="BDI Video"/>
    <s v="V7- Trimmed"/>
    <n v="1700"/>
    <n v="1"/>
    <x v="1"/>
    <x v="3"/>
    <m/>
    <s v="G"/>
    <s v="RG"/>
    <s v="left"/>
  </r>
  <r>
    <m/>
    <x v="0"/>
    <s v="BDI Video"/>
    <s v="V7- Trimmed"/>
    <n v="1700"/>
    <n v="2"/>
    <x v="2"/>
    <x v="1"/>
    <m/>
    <s v="Suction"/>
    <s v="blunt dissection"/>
    <s v="right"/>
  </r>
  <r>
    <m/>
    <x v="0"/>
    <s v="BDI Video"/>
    <s v="V7- Trimmed"/>
    <n v="1750"/>
    <n v="1"/>
    <x v="1"/>
    <x v="3"/>
    <m/>
    <s v="G"/>
    <s v="RG"/>
    <s v="left"/>
  </r>
  <r>
    <m/>
    <x v="0"/>
    <s v="BDI Video"/>
    <s v="V7- Trimmed"/>
    <n v="1750"/>
    <n v="2"/>
    <x v="3"/>
    <x v="2"/>
    <m/>
    <s v="cautery"/>
    <s v="floating"/>
    <s v="right"/>
  </r>
  <r>
    <m/>
    <x v="0"/>
    <s v="BDI Video"/>
    <s v="V7- Trimmed"/>
    <n v="1760"/>
    <n v="1"/>
    <x v="1"/>
    <x v="3"/>
    <m/>
    <s v="G"/>
    <s v="RG"/>
    <s v="left"/>
  </r>
  <r>
    <m/>
    <x v="0"/>
    <s v="BDI Video"/>
    <s v="V7- Trimmed"/>
    <n v="1760"/>
    <n v="2"/>
    <x v="2"/>
    <x v="1"/>
    <m/>
    <s v="Suction"/>
    <s v="suction"/>
    <s v="right"/>
  </r>
  <r>
    <m/>
    <x v="0"/>
    <s v="BDI Video"/>
    <s v="V7- Trimmed"/>
    <n v="1770"/>
    <n v="1"/>
    <x v="1"/>
    <x v="3"/>
    <m/>
    <s v="G"/>
    <s v="RG"/>
    <s v="left"/>
  </r>
  <r>
    <m/>
    <x v="0"/>
    <s v="BDI Video"/>
    <s v="V7- Trimmed"/>
    <n v="1780"/>
    <n v="1"/>
    <x v="1"/>
    <x v="3"/>
    <m/>
    <s v="G"/>
    <s v="RG"/>
    <s v="left"/>
  </r>
  <r>
    <m/>
    <x v="0"/>
    <s v="BDI Video"/>
    <s v="V7- Trimmed"/>
    <n v="1780"/>
    <n v="2"/>
    <x v="2"/>
    <x v="1"/>
    <m/>
    <s v="peanut"/>
    <s v="blunt dissection"/>
    <s v="right"/>
  </r>
  <r>
    <m/>
    <x v="0"/>
    <s v="BDI Video"/>
    <s v="V7- Trimmed"/>
    <n v="1790"/>
    <n v="1"/>
    <x v="1"/>
    <x v="3"/>
    <m/>
    <s v="G"/>
    <s v="RG"/>
    <s v="left"/>
  </r>
  <r>
    <m/>
    <x v="0"/>
    <s v="BDI Video"/>
    <s v="V7- Trimmed"/>
    <n v="1790"/>
    <n v="2"/>
    <x v="2"/>
    <x v="1"/>
    <m/>
    <s v="peanut"/>
    <s v="blunt dissection"/>
    <s v="right"/>
  </r>
  <r>
    <m/>
    <x v="0"/>
    <s v="BDI Video"/>
    <s v="V7- Trimmed"/>
    <n v="1800"/>
    <n v="1"/>
    <x v="1"/>
    <x v="3"/>
    <m/>
    <s v="G"/>
    <s v="RG"/>
    <s v="left"/>
  </r>
  <r>
    <m/>
    <x v="0"/>
    <s v="BDI Video"/>
    <s v="V7- Trimmed"/>
    <n v="1800"/>
    <n v="2"/>
    <x v="1"/>
    <x v="3"/>
    <m/>
    <s v="G2"/>
    <s v="RG"/>
    <s v="left"/>
  </r>
  <r>
    <m/>
    <x v="0"/>
    <s v="BDI Video"/>
    <s v="V7- Trimmed"/>
    <n v="1800"/>
    <n v="3"/>
    <x v="1"/>
    <x v="1"/>
    <m/>
    <s v="peanut"/>
    <s v="blunt dissection"/>
    <s v="right"/>
  </r>
  <r>
    <m/>
    <x v="0"/>
    <s v="BDI Video"/>
    <s v="V7- Trimmed"/>
    <n v="1810"/>
    <n v="1"/>
    <x v="1"/>
    <x v="3"/>
    <m/>
    <s v="G"/>
    <s v="RG"/>
    <s v="left"/>
  </r>
  <r>
    <m/>
    <x v="0"/>
    <s v="BDI Video"/>
    <s v="V7- Trimmed"/>
    <n v="1810"/>
    <n v="2"/>
    <x v="3"/>
    <x v="2"/>
    <m/>
    <s v="Suction"/>
    <m/>
    <s v="right"/>
  </r>
  <r>
    <m/>
    <x v="0"/>
    <s v="BDI Video"/>
    <s v="V7- Trimmed"/>
    <n v="1820"/>
    <n v="1"/>
    <x v="1"/>
    <x v="3"/>
    <m/>
    <s v="G"/>
    <s v="RG"/>
    <s v="left"/>
  </r>
  <r>
    <m/>
    <x v="0"/>
    <s v="BDI Video"/>
    <s v="V7- Trimmed"/>
    <n v="1820"/>
    <n v="2"/>
    <x v="2"/>
    <x v="1"/>
    <m/>
    <s v="Suction"/>
    <s v="other"/>
    <s v="right"/>
  </r>
  <r>
    <m/>
    <x v="0"/>
    <s v="BDI Video"/>
    <s v="V7- Trimmed"/>
    <n v="1830"/>
    <n v="1"/>
    <x v="1"/>
    <x v="3"/>
    <m/>
    <s v="G"/>
    <s v="RG"/>
    <s v="left"/>
  </r>
  <r>
    <m/>
    <x v="0"/>
    <s v="BDI Video"/>
    <s v="V7- Trimmed"/>
    <n v="1830"/>
    <n v="2"/>
    <x v="3"/>
    <x v="2"/>
    <m/>
    <s v="Suction"/>
    <m/>
    <s v="right"/>
  </r>
  <r>
    <m/>
    <x v="0"/>
    <s v="BDI Video"/>
    <s v="V7- Trimmed"/>
    <n v="1840"/>
    <n v="1"/>
    <x v="1"/>
    <x v="3"/>
    <m/>
    <s v="G"/>
    <s v="RG"/>
    <s v="left"/>
  </r>
  <r>
    <m/>
    <x v="0"/>
    <s v="BDI Video"/>
    <s v="V7- Trimmed"/>
    <n v="1840"/>
    <n v="2"/>
    <x v="1"/>
    <x v="3"/>
    <m/>
    <s v="G2"/>
    <s v="RG"/>
    <s v="left"/>
  </r>
  <r>
    <m/>
    <x v="0"/>
    <s v="BDI Video"/>
    <s v="V7- Trimmed"/>
    <n v="1840"/>
    <n v="3"/>
    <x v="2"/>
    <x v="1"/>
    <m/>
    <s v="Suction"/>
    <s v="suction"/>
    <s v="right"/>
  </r>
  <r>
    <m/>
    <x v="0"/>
    <s v="BDI Video"/>
    <s v="V7- Trimmed"/>
    <n v="1850"/>
    <n v="1"/>
    <x v="1"/>
    <x v="3"/>
    <m/>
    <s v="G"/>
    <s v="RG"/>
    <s v="left"/>
  </r>
  <r>
    <m/>
    <x v="0"/>
    <s v="BDI Video"/>
    <s v="V7- Trimmed"/>
    <n v="1850"/>
    <n v="2"/>
    <x v="1"/>
    <x v="3"/>
    <m/>
    <s v="G2"/>
    <s v="RG"/>
    <s v="left"/>
  </r>
  <r>
    <m/>
    <x v="0"/>
    <s v="BDI Video"/>
    <s v="V7- Trimmed"/>
    <n v="1860"/>
    <n v="1"/>
    <x v="1"/>
    <x v="3"/>
    <m/>
    <s v="G"/>
    <s v="RG"/>
    <s v="left"/>
  </r>
  <r>
    <m/>
    <x v="0"/>
    <s v="BDI Video"/>
    <s v="V7- Trimmed"/>
    <n v="1860"/>
    <n v="2"/>
    <x v="3"/>
    <x v="2"/>
    <m/>
    <s v="dissector"/>
    <m/>
    <s v="right"/>
  </r>
  <r>
    <m/>
    <x v="0"/>
    <s v="BDI Video"/>
    <s v="V7- Trimmed"/>
    <n v="1870"/>
    <n v="1"/>
    <x v="1"/>
    <x v="3"/>
    <m/>
    <s v="G"/>
    <s v="RG"/>
    <s v="left"/>
  </r>
  <r>
    <m/>
    <x v="0"/>
    <s v="BDI Video"/>
    <s v="V7- Trimmed"/>
    <n v="1870"/>
    <n v="2"/>
    <x v="1"/>
    <x v="3"/>
    <m/>
    <s v="G2"/>
    <s v="RG"/>
    <s v="left"/>
  </r>
  <r>
    <m/>
    <x v="0"/>
    <s v="BDI Video"/>
    <s v="V7- Trimmed"/>
    <n v="1870"/>
    <n v="3"/>
    <x v="3"/>
    <x v="2"/>
    <m/>
    <s v="dissector"/>
    <m/>
    <s v="right"/>
  </r>
  <r>
    <m/>
    <x v="0"/>
    <s v="BDI Video"/>
    <s v="V7- Trimmed"/>
    <n v="1880"/>
    <n v="1"/>
    <x v="1"/>
    <x v="3"/>
    <m/>
    <s v="G"/>
    <s v="RG"/>
    <s v="left"/>
  </r>
  <r>
    <m/>
    <x v="0"/>
    <s v="BDI Video"/>
    <s v="V7- Trimmed"/>
    <n v="1880"/>
    <n v="2"/>
    <x v="1"/>
    <x v="3"/>
    <m/>
    <s v="G2"/>
    <s v="RG"/>
    <s v="left"/>
  </r>
  <r>
    <m/>
    <x v="0"/>
    <s v="BDI Video"/>
    <s v="V7- Trimmed"/>
    <n v="1880"/>
    <n v="3"/>
    <x v="2"/>
    <x v="1"/>
    <m/>
    <s v="dissector"/>
    <s v="blunt dissection"/>
    <s v="right"/>
  </r>
  <r>
    <m/>
    <x v="0"/>
    <s v="BDI Video"/>
    <s v="V7- Trimmed"/>
    <n v="1890"/>
    <n v="1"/>
    <x v="1"/>
    <x v="3"/>
    <m/>
    <s v="G"/>
    <s v="RG"/>
    <s v="left"/>
  </r>
  <r>
    <m/>
    <x v="0"/>
    <s v="BDI Video"/>
    <s v="V7- Trimmed"/>
    <n v="1890"/>
    <n v="2"/>
    <x v="1"/>
    <x v="1"/>
    <m/>
    <s v="dissector"/>
    <s v="blunt dissection"/>
    <s v="right"/>
  </r>
  <r>
    <m/>
    <x v="0"/>
    <s v="BDI Video"/>
    <s v="V7- Trimmed"/>
    <n v="1900"/>
    <n v="1"/>
    <x v="1"/>
    <x v="3"/>
    <m/>
    <s v="G"/>
    <s v="RG"/>
    <s v="left"/>
  </r>
  <r>
    <m/>
    <x v="0"/>
    <s v="BDI Video"/>
    <s v="V7- Trimmed"/>
    <n v="1900"/>
    <n v="2"/>
    <x v="3"/>
    <x v="2"/>
    <m/>
    <s v="dissector"/>
    <m/>
    <s v="right"/>
  </r>
  <r>
    <m/>
    <x v="0"/>
    <s v="BDI Video"/>
    <s v="V7- Trimmed"/>
    <n v="1930"/>
    <n v="1"/>
    <x v="1"/>
    <x v="3"/>
    <m/>
    <s v="G"/>
    <s v="RG"/>
    <s v="left"/>
  </r>
  <r>
    <m/>
    <x v="0"/>
    <s v="BDI Video"/>
    <s v="V7- Trimmed"/>
    <n v="1930"/>
    <n v="2"/>
    <x v="2"/>
    <x v="1"/>
    <m/>
    <s v="dissector"/>
    <s v="blunt dissection"/>
    <s v="right"/>
  </r>
  <r>
    <m/>
    <x v="0"/>
    <s v="BDI Video"/>
    <s v="V7- Trimmed"/>
    <n v="2010"/>
    <n v="1"/>
    <x v="1"/>
    <x v="3"/>
    <m/>
    <s v="G"/>
    <s v="RG"/>
    <s v="left"/>
  </r>
  <r>
    <m/>
    <x v="0"/>
    <s v="BDI Video"/>
    <s v="V7- Trimmed"/>
    <n v="2010"/>
    <n v="2"/>
    <x v="2"/>
    <x v="1"/>
    <m/>
    <s v="dissector"/>
    <s v="blunt dissection"/>
    <s v="right"/>
  </r>
  <r>
    <m/>
    <x v="0"/>
    <s v="BDI Video"/>
    <s v="V7- Trimmed"/>
    <n v="2020"/>
    <n v="1"/>
    <x v="1"/>
    <x v="3"/>
    <m/>
    <s v="G"/>
    <s v="RG"/>
    <s v="left"/>
  </r>
  <r>
    <m/>
    <x v="0"/>
    <s v="BDI Video"/>
    <s v="V7- Trimmed"/>
    <n v="2020"/>
    <n v="2"/>
    <x v="2"/>
    <x v="1"/>
    <m/>
    <s v="dissector"/>
    <s v="blunt dissection"/>
    <s v="right"/>
  </r>
  <r>
    <m/>
    <x v="0"/>
    <s v="BDI Video"/>
    <s v="V7- Trimmed"/>
    <n v="2030"/>
    <n v="1"/>
    <x v="2"/>
    <x v="3"/>
    <m/>
    <s v="G"/>
    <s v="RG"/>
    <s v="left"/>
  </r>
  <r>
    <m/>
    <x v="0"/>
    <s v="BDI Video"/>
    <s v="V7- Trimmed"/>
    <n v="2030"/>
    <n v="2"/>
    <x v="1"/>
    <x v="1"/>
    <s v="TBRHS"/>
    <s v="G2"/>
    <s v="RG"/>
    <s v="left"/>
  </r>
  <r>
    <m/>
    <x v="0"/>
    <s v="BDI Video"/>
    <s v="V7- Trimmed"/>
    <n v="2060"/>
    <n v="1"/>
    <x v="1"/>
    <x v="3"/>
    <m/>
    <s v="G"/>
    <s v="RG"/>
    <s v="left"/>
  </r>
  <r>
    <m/>
    <x v="0"/>
    <s v="BDI Video"/>
    <s v="V7- Trimmed"/>
    <n v="2060"/>
    <n v="2"/>
    <x v="2"/>
    <x v="1"/>
    <m/>
    <s v="Suction"/>
    <s v="suction"/>
    <s v="right"/>
  </r>
  <r>
    <m/>
    <x v="0"/>
    <s v="BDI Video"/>
    <s v="V7- Trimmed"/>
    <n v="2090"/>
    <n v="1"/>
    <x v="1"/>
    <x v="3"/>
    <m/>
    <s v="G"/>
    <s v="RG"/>
    <s v="left"/>
  </r>
  <r>
    <m/>
    <x v="0"/>
    <s v="BDI Video"/>
    <s v="V7- Trimmed"/>
    <n v="2110"/>
    <n v="1"/>
    <x v="1"/>
    <x v="3"/>
    <m/>
    <s v="G"/>
    <s v="RG"/>
    <s v="left"/>
  </r>
  <r>
    <m/>
    <x v="0"/>
    <s v="BDI Video"/>
    <s v="V7- Trimmed"/>
    <n v="2110"/>
    <n v="2"/>
    <x v="3"/>
    <x v="2"/>
    <m/>
    <s v="dissector"/>
    <m/>
    <s v="right"/>
  </r>
  <r>
    <m/>
    <x v="0"/>
    <s v="BDI Video"/>
    <s v="V7- Trimmed"/>
    <n v="2200"/>
    <n v="1"/>
    <x v="1"/>
    <x v="1"/>
    <m/>
    <s v="ligasure"/>
    <s v="energy-sharp dissection"/>
    <s v="right"/>
  </r>
  <r>
    <m/>
    <x v="0"/>
    <s v="BDI Video"/>
    <s v="V7- Trimmed"/>
    <n v="2240"/>
    <n v="1"/>
    <x v="1"/>
    <x v="3"/>
    <m/>
    <s v="G"/>
    <s v="RG"/>
    <s v="left"/>
  </r>
  <r>
    <m/>
    <x v="0"/>
    <s v="BDI Video"/>
    <s v="V7- Trimmed"/>
    <n v="2240"/>
    <n v="2"/>
    <x v="3"/>
    <x v="2"/>
    <m/>
    <s v="G2"/>
    <m/>
    <s v="left"/>
  </r>
  <r>
    <m/>
    <x v="0"/>
    <s v="BDI Video"/>
    <s v="V7- Trimmed"/>
    <n v="2240"/>
    <n v="3"/>
    <x v="3"/>
    <x v="2"/>
    <m/>
    <s v="Suction"/>
    <s v="suction"/>
    <s v="right"/>
  </r>
  <r>
    <m/>
    <x v="0"/>
    <s v="BDI Video"/>
    <s v="V7- Trimmed"/>
    <n v="2250"/>
    <n v="1"/>
    <x v="1"/>
    <x v="3"/>
    <m/>
    <s v="G"/>
    <s v="RG"/>
    <s v="left"/>
  </r>
  <r>
    <m/>
    <x v="0"/>
    <s v="BDI Video"/>
    <s v="V7- Trimmed"/>
    <n v="2250"/>
    <n v="2"/>
    <x v="2"/>
    <x v="3"/>
    <m/>
    <s v="G2"/>
    <s v="RG"/>
    <s v="left"/>
  </r>
  <r>
    <m/>
    <x v="0"/>
    <s v="BDI Video"/>
    <s v="V7- Trimmed"/>
    <n v="2250"/>
    <n v="3"/>
    <x v="3"/>
    <x v="2"/>
    <m/>
    <s v="Suction"/>
    <m/>
    <s v="right"/>
  </r>
  <r>
    <m/>
    <x v="0"/>
    <s v="BDI Video"/>
    <s v="V7- Trimmed"/>
    <n v="2260"/>
    <n v="1"/>
    <x v="2"/>
    <x v="3"/>
    <m/>
    <s v="G"/>
    <s v="RG"/>
    <s v="left"/>
  </r>
  <r>
    <m/>
    <x v="0"/>
    <s v="BDI Video"/>
    <s v="V7- Trimmed"/>
    <n v="2260"/>
    <n v="2"/>
    <x v="1"/>
    <x v="3"/>
    <m/>
    <s v="G2"/>
    <s v="RG"/>
    <s v="left"/>
  </r>
  <r>
    <m/>
    <x v="0"/>
    <s v="BDI Video"/>
    <s v="V7- Trimmed"/>
    <n v="2260"/>
    <n v="3"/>
    <x v="3"/>
    <x v="2"/>
    <m/>
    <s v="cautery"/>
    <m/>
    <s v="right"/>
  </r>
  <r>
    <m/>
    <x v="0"/>
    <s v="BDI Video"/>
    <s v="V7- Trimmed"/>
    <n v="2270"/>
    <n v="1"/>
    <x v="1"/>
    <x v="3"/>
    <m/>
    <s v="G"/>
    <s v="RG"/>
    <s v="left"/>
  </r>
  <r>
    <m/>
    <x v="0"/>
    <s v="BDI Video"/>
    <s v="V7- Trimmed"/>
    <n v="2280"/>
    <n v="1"/>
    <x v="1"/>
    <x v="3"/>
    <m/>
    <s v="G"/>
    <s v="RG"/>
    <s v="left"/>
  </r>
  <r>
    <m/>
    <x v="0"/>
    <s v="BDI Video"/>
    <s v="V7- Trimmed"/>
    <n v="2280"/>
    <n v="2"/>
    <x v="1"/>
    <x v="1"/>
    <m/>
    <s v="cautery"/>
    <s v="other"/>
    <s v="right"/>
  </r>
  <r>
    <m/>
    <x v="0"/>
    <s v="BDI Video"/>
    <s v="V7- Trimmed"/>
    <n v="2290"/>
    <n v="1"/>
    <x v="1"/>
    <x v="3"/>
    <m/>
    <s v="G"/>
    <s v="RG"/>
    <s v="left"/>
  </r>
  <r>
    <m/>
    <x v="0"/>
    <s v="BDI Video"/>
    <s v="V7- Trimmed"/>
    <n v="2290"/>
    <n v="2"/>
    <x v="2"/>
    <x v="1"/>
    <m/>
    <s v="cautery"/>
    <s v="energy-sharp dissection"/>
    <s v="right"/>
  </r>
  <r>
    <m/>
    <x v="0"/>
    <s v="BDI Video"/>
    <s v="V7- Trimmed"/>
    <n v="2300"/>
    <n v="1"/>
    <x v="1"/>
    <x v="3"/>
    <m/>
    <s v="G"/>
    <s v="RG"/>
    <s v="left"/>
  </r>
  <r>
    <m/>
    <x v="0"/>
    <s v="BDI Video"/>
    <s v="V7- Trimmed"/>
    <n v="2300"/>
    <n v="2"/>
    <x v="4"/>
    <x v="2"/>
    <m/>
    <s v="none"/>
    <m/>
    <m/>
  </r>
  <r>
    <m/>
    <x v="0"/>
    <s v="BDI Video"/>
    <s v="V7- Trimmed"/>
    <n v="2320"/>
    <n v="1"/>
    <x v="2"/>
    <x v="3"/>
    <m/>
    <s v="G"/>
    <s v="RG"/>
    <s v="left"/>
  </r>
  <r>
    <m/>
    <x v="0"/>
    <s v="BDI Video"/>
    <s v="V7- Trimmed"/>
    <n v="2320"/>
    <n v="2"/>
    <x v="1"/>
    <x v="3"/>
    <m/>
    <s v="G2"/>
    <s v="RG"/>
    <s v="left"/>
  </r>
  <r>
    <m/>
    <x v="0"/>
    <s v="BDI Video"/>
    <s v="V7- Trimmed"/>
    <n v="2320"/>
    <n v="3"/>
    <x v="2"/>
    <x v="1"/>
    <m/>
    <s v="cautery"/>
    <s v="other"/>
    <s v="right"/>
  </r>
  <r>
    <m/>
    <x v="0"/>
    <s v="BDI Video"/>
    <s v="V7- Trimmed"/>
    <n v="2330"/>
    <n v="1"/>
    <x v="1"/>
    <x v="3"/>
    <m/>
    <s v="G"/>
    <s v="RG"/>
    <s v="left"/>
  </r>
  <r>
    <m/>
    <x v="0"/>
    <s v="BDI Video"/>
    <s v="V7- Trimmed"/>
    <n v="2330"/>
    <n v="2"/>
    <x v="2"/>
    <x v="1"/>
    <m/>
    <s v="Suction"/>
    <s v="blunt dissection"/>
    <s v="right"/>
  </r>
  <r>
    <m/>
    <x v="0"/>
    <s v="BDI Video"/>
    <s v="V7- Trimmed"/>
    <n v="2340"/>
    <n v="1"/>
    <x v="1"/>
    <x v="3"/>
    <m/>
    <s v="G"/>
    <s v="RG"/>
    <s v="left"/>
  </r>
  <r>
    <m/>
    <x v="0"/>
    <s v="BDI Video"/>
    <s v="V7- Trimmed"/>
    <n v="2340"/>
    <n v="2"/>
    <x v="2"/>
    <x v="1"/>
    <m/>
    <s v="Suction"/>
    <s v="suction"/>
    <s v="right"/>
  </r>
  <r>
    <m/>
    <x v="0"/>
    <s v="BDI Video"/>
    <s v="V7- Trimmed"/>
    <n v="2360"/>
    <n v="1"/>
    <x v="1"/>
    <x v="3"/>
    <m/>
    <s v="G"/>
    <s v="RG"/>
    <s v="left"/>
  </r>
  <r>
    <m/>
    <x v="0"/>
    <s v="BDI Video"/>
    <s v="V7- Trimmed"/>
    <n v="2360"/>
    <n v="2"/>
    <x v="2"/>
    <x v="3"/>
    <m/>
    <s v="G2"/>
    <s v="RG"/>
    <s v="left"/>
  </r>
  <r>
    <m/>
    <x v="0"/>
    <s v="BDI Video"/>
    <s v="V7- Trimmed"/>
    <n v="2380"/>
    <n v="1"/>
    <x v="1"/>
    <x v="3"/>
    <m/>
    <s v="G"/>
    <s v="RG"/>
    <s v="left"/>
  </r>
  <r>
    <m/>
    <x v="0"/>
    <s v="BDI Video"/>
    <s v="V7- Trimmed"/>
    <n v="2380"/>
    <n v="2"/>
    <x v="2"/>
    <x v="3"/>
    <m/>
    <s v="G2"/>
    <s v="RG"/>
    <s v="left"/>
  </r>
  <r>
    <m/>
    <x v="0"/>
    <s v="BDI Video"/>
    <s v="V7- Trimmed"/>
    <n v="2390"/>
    <n v="1"/>
    <x v="1"/>
    <x v="3"/>
    <m/>
    <s v="G"/>
    <s v="RG"/>
    <s v="left"/>
  </r>
  <r>
    <m/>
    <x v="0"/>
    <s v="BDI Video"/>
    <s v="V7- Trimmed"/>
    <n v="2390"/>
    <n v="2"/>
    <x v="2"/>
    <x v="1"/>
    <m/>
    <s v="dissector"/>
    <s v="blunt dissection"/>
    <s v="right"/>
  </r>
  <r>
    <m/>
    <x v="0"/>
    <s v="BDI Video"/>
    <s v="V7- Trimmed"/>
    <n v="2410"/>
    <n v="1"/>
    <x v="1"/>
    <x v="3"/>
    <m/>
    <s v="G"/>
    <s v="RG"/>
    <s v="left"/>
  </r>
  <r>
    <m/>
    <x v="0"/>
    <s v="BDI Video"/>
    <s v="V7- Trimmed"/>
    <n v="2410"/>
    <n v="2"/>
    <x v="4"/>
    <x v="2"/>
    <m/>
    <s v="none"/>
    <m/>
    <m/>
  </r>
  <r>
    <m/>
    <x v="0"/>
    <s v="BDI Video"/>
    <s v="V7- Trimmed"/>
    <n v="2420"/>
    <n v="1"/>
    <x v="1"/>
    <x v="3"/>
    <m/>
    <s v="G"/>
    <s v="RG"/>
    <s v="left"/>
  </r>
  <r>
    <m/>
    <x v="0"/>
    <s v="BDI Video"/>
    <s v="V7- Trimmed"/>
    <n v="2420"/>
    <n v="2"/>
    <x v="1"/>
    <x v="3"/>
    <m/>
    <s v="G2"/>
    <s v="other"/>
    <s v="left"/>
  </r>
  <r>
    <m/>
    <x v="0"/>
    <s v="BDI Video"/>
    <s v="V7- Trimmed"/>
    <n v="2420"/>
    <n v="3"/>
    <x v="2"/>
    <x v="3"/>
    <m/>
    <s v="peanut"/>
    <s v="blunt dissection"/>
    <s v="right"/>
  </r>
  <r>
    <m/>
    <x v="0"/>
    <s v="BDI Video"/>
    <s v="V7- Trimmed"/>
    <n v="2440"/>
    <n v="1"/>
    <x v="1"/>
    <x v="3"/>
    <m/>
    <s v="peanut"/>
    <s v="blunt dissection"/>
    <s v="right"/>
  </r>
  <r>
    <m/>
    <x v="0"/>
    <s v="BDI Video"/>
    <s v="V7- Trimmed"/>
    <n v="2440"/>
    <n v="2"/>
    <x v="2"/>
    <x v="3"/>
    <m/>
    <s v="G"/>
    <s v="other"/>
    <s v="left"/>
  </r>
  <r>
    <m/>
    <x v="0"/>
    <s v="BDI Video"/>
    <s v="V7- Trimmed"/>
    <n v="2470"/>
    <n v="1"/>
    <x v="1"/>
    <x v="3"/>
    <m/>
    <s v="G"/>
    <s v="RG"/>
    <s v="left"/>
  </r>
  <r>
    <m/>
    <x v="0"/>
    <s v="BDI Video"/>
    <s v="V7- Trimmed"/>
    <n v="2470"/>
    <n v="2"/>
    <x v="3"/>
    <x v="2"/>
    <m/>
    <s v="peanut"/>
    <m/>
    <s v="right"/>
  </r>
  <r>
    <m/>
    <x v="0"/>
    <s v="BDI Video"/>
    <s v="V7- Trimmed"/>
    <n v="2520"/>
    <n v="1"/>
    <x v="1"/>
    <x v="3"/>
    <m/>
    <s v="G"/>
    <s v="RG"/>
    <s v="left"/>
  </r>
  <r>
    <m/>
    <x v="0"/>
    <s v="BDI Video"/>
    <s v="V7- Trimmed"/>
    <n v="2520"/>
    <n v="2"/>
    <x v="2"/>
    <x v="3"/>
    <m/>
    <s v="Suction"/>
    <s v="other"/>
    <s v="right"/>
  </r>
  <r>
    <m/>
    <x v="0"/>
    <s v="BDI Video"/>
    <s v="V7- Trimmed"/>
    <n v="2550"/>
    <n v="1"/>
    <x v="1"/>
    <x v="3"/>
    <m/>
    <s v="G"/>
    <s v="RG"/>
    <s v="left"/>
  </r>
  <r>
    <m/>
    <x v="0"/>
    <s v="BDI Video"/>
    <s v="V7- Trimmed"/>
    <n v="2550"/>
    <n v="2"/>
    <x v="2"/>
    <x v="3"/>
    <m/>
    <s v="G2"/>
    <s v="RG"/>
    <s v="left"/>
  </r>
  <r>
    <m/>
    <x v="0"/>
    <s v="BDI Video"/>
    <s v="V7- Trimmed"/>
    <n v="2580"/>
    <n v="1"/>
    <x v="1"/>
    <x v="3"/>
    <m/>
    <s v="G"/>
    <s v="RG"/>
    <s v="left"/>
  </r>
  <r>
    <m/>
    <x v="0"/>
    <s v="BDI Video"/>
    <s v="V7- Trimmed"/>
    <n v="2580"/>
    <n v="2"/>
    <x v="2"/>
    <x v="3"/>
    <m/>
    <s v="G2"/>
    <s v="RG"/>
    <s v="left"/>
  </r>
  <r>
    <m/>
    <x v="0"/>
    <s v="BDI Video"/>
    <s v="V7- Trimmed"/>
    <n v="2580"/>
    <n v="3"/>
    <x v="2"/>
    <x v="1"/>
    <m/>
    <s v="cautery"/>
    <s v="blunt dissection"/>
    <s v="right"/>
  </r>
  <r>
    <m/>
    <x v="0"/>
    <s v="BDI Video"/>
    <s v="V7- Trimmed"/>
    <n v="2590"/>
    <n v="1"/>
    <x v="1"/>
    <x v="3"/>
    <m/>
    <s v="G"/>
    <s v="RG"/>
    <s v="left"/>
  </r>
  <r>
    <m/>
    <x v="0"/>
    <s v="BDI Video"/>
    <s v="V7- Trimmed"/>
    <n v="2590"/>
    <n v="2"/>
    <x v="1"/>
    <x v="3"/>
    <m/>
    <s v="G2"/>
    <s v="RG"/>
    <s v="left"/>
  </r>
  <r>
    <m/>
    <x v="0"/>
    <s v="BDI Video"/>
    <s v="V7- Trimmed"/>
    <n v="2590"/>
    <n v="3"/>
    <x v="2"/>
    <x v="1"/>
    <m/>
    <s v="cautery"/>
    <s v="blunt dissection"/>
    <s v="right"/>
  </r>
  <r>
    <m/>
    <x v="0"/>
    <s v="BDI Video"/>
    <s v="V7- Trimmed"/>
    <n v="2600"/>
    <n v="1"/>
    <x v="2"/>
    <x v="3"/>
    <m/>
    <s v="G"/>
    <s v="RG"/>
    <s v="left"/>
  </r>
  <r>
    <m/>
    <x v="0"/>
    <s v="BDI Video"/>
    <s v="V7- Trimmed"/>
    <n v="2600"/>
    <n v="2"/>
    <x v="1"/>
    <x v="3"/>
    <m/>
    <s v="G2"/>
    <s v="RG"/>
    <s v="left"/>
  </r>
  <r>
    <m/>
    <x v="0"/>
    <s v="BDI Video"/>
    <s v="V7- Trimmed"/>
    <n v="2600"/>
    <n v="3"/>
    <x v="2"/>
    <x v="1"/>
    <m/>
    <s v="cautery"/>
    <s v="blunt dissection"/>
    <s v="right"/>
  </r>
  <r>
    <m/>
    <x v="0"/>
    <s v="BDI Video"/>
    <s v="V7- Trimmed"/>
    <n v="2610"/>
    <n v="1"/>
    <x v="2"/>
    <x v="3"/>
    <m/>
    <s v="G"/>
    <s v="RG"/>
    <s v="left"/>
  </r>
  <r>
    <m/>
    <x v="0"/>
    <s v="BDI Video"/>
    <s v="V7- Trimmed"/>
    <n v="2610"/>
    <n v="2"/>
    <x v="1"/>
    <x v="3"/>
    <m/>
    <s v="G2"/>
    <s v="RG"/>
    <s v="left"/>
  </r>
  <r>
    <m/>
    <x v="0"/>
    <s v="BDI Video"/>
    <s v="V7- Trimmed"/>
    <n v="2610"/>
    <n v="3"/>
    <x v="2"/>
    <x v="1"/>
    <m/>
    <s v="cautery"/>
    <s v="energy-sharp dissection"/>
    <s v="right"/>
  </r>
  <r>
    <m/>
    <x v="0"/>
    <s v="BDI Video"/>
    <s v="V7- Trimmed"/>
    <n v="2620"/>
    <n v="1"/>
    <x v="1"/>
    <x v="3"/>
    <m/>
    <s v="G"/>
    <s v="RG"/>
    <s v="left"/>
  </r>
  <r>
    <m/>
    <x v="0"/>
    <s v="BDI Video"/>
    <s v="V7- Trimmed"/>
    <n v="2620"/>
    <n v="2"/>
    <x v="2"/>
    <x v="3"/>
    <m/>
    <s v="G2"/>
    <s v="RG"/>
    <s v="left"/>
  </r>
  <r>
    <m/>
    <x v="0"/>
    <s v="BDI Video"/>
    <s v="V7- Trimmed"/>
    <n v="2620"/>
    <n v="3"/>
    <x v="1"/>
    <x v="1"/>
    <m/>
    <s v="cautery"/>
    <s v="energy-sharp dissection"/>
    <s v="right"/>
  </r>
  <r>
    <m/>
    <x v="0"/>
    <s v="BDI Video"/>
    <s v="V7- Trimmed"/>
    <n v="2630"/>
    <n v="1"/>
    <x v="1"/>
    <x v="3"/>
    <m/>
    <s v="G"/>
    <s v="RG"/>
    <s v="left"/>
  </r>
  <r>
    <m/>
    <x v="0"/>
    <s v="BDI Video"/>
    <s v="V7- Trimmed"/>
    <n v="2630"/>
    <n v="2"/>
    <x v="2"/>
    <x v="3"/>
    <m/>
    <s v="G2"/>
    <s v="RG"/>
    <s v="left"/>
  </r>
  <r>
    <m/>
    <x v="0"/>
    <s v="BDI Video"/>
    <s v="V7- Trimmed"/>
    <n v="2640"/>
    <n v="1"/>
    <x v="1"/>
    <x v="3"/>
    <m/>
    <s v="G"/>
    <s v="RG"/>
    <s v="left"/>
  </r>
  <r>
    <m/>
    <x v="0"/>
    <s v="BDI Video"/>
    <s v="V7- Trimmed"/>
    <n v="2640"/>
    <n v="2"/>
    <x v="2"/>
    <x v="3"/>
    <m/>
    <s v="G2"/>
    <s v="RG"/>
    <s v="left"/>
  </r>
  <r>
    <m/>
    <x v="0"/>
    <s v="BDI Video"/>
    <s v="V7- Trimmed"/>
    <n v="2640"/>
    <n v="3"/>
    <x v="3"/>
    <x v="2"/>
    <m/>
    <s v="harmonic"/>
    <m/>
    <s v="right"/>
  </r>
  <r>
    <m/>
    <x v="0"/>
    <s v="BDI Video"/>
    <s v="V7- Trimmed"/>
    <n v="2650"/>
    <n v="1"/>
    <x v="1"/>
    <x v="3"/>
    <m/>
    <s v="G"/>
    <s v="RG"/>
    <s v="left"/>
  </r>
  <r>
    <m/>
    <x v="0"/>
    <s v="BDI Video"/>
    <s v="V7- Trimmed"/>
    <n v="2650"/>
    <n v="2"/>
    <x v="2"/>
    <x v="3"/>
    <m/>
    <s v="G2"/>
    <s v="RG"/>
    <s v="left"/>
  </r>
  <r>
    <m/>
    <x v="0"/>
    <s v="BDI Video"/>
    <s v="V7- Trimmed"/>
    <n v="2650"/>
    <n v="3"/>
    <x v="2"/>
    <x v="1"/>
    <m/>
    <s v="harmonic"/>
    <s v="energy-sharp dissection"/>
    <s v="right"/>
  </r>
  <r>
    <m/>
    <x v="0"/>
    <s v="BDI Video"/>
    <s v="V7- Trimmed"/>
    <n v="2660"/>
    <n v="1"/>
    <x v="1"/>
    <x v="3"/>
    <m/>
    <s v="G"/>
    <s v="RG"/>
    <s v="left"/>
  </r>
  <r>
    <m/>
    <x v="0"/>
    <s v="BDI Video"/>
    <s v="V7- Trimmed"/>
    <n v="2660"/>
    <n v="2"/>
    <x v="2"/>
    <x v="3"/>
    <m/>
    <s v="G2"/>
    <s v="RG"/>
    <s v="left"/>
  </r>
  <r>
    <m/>
    <x v="0"/>
    <s v="BDI Video"/>
    <s v="V7- Trimmed"/>
    <n v="2660"/>
    <n v="3"/>
    <x v="2"/>
    <x v="1"/>
    <m/>
    <s v="harmonic"/>
    <s v="energy-sharp dissection"/>
    <s v="right"/>
  </r>
  <r>
    <m/>
    <x v="0"/>
    <s v="BDI Video"/>
    <s v="V7- Trimmed"/>
    <n v="2680"/>
    <n v="1"/>
    <x v="2"/>
    <x v="3"/>
    <m/>
    <s v="G"/>
    <s v="other"/>
    <s v="left"/>
  </r>
  <r>
    <m/>
    <x v="0"/>
    <s v="BDI Video"/>
    <s v="V7- Trimmed"/>
    <n v="2680"/>
    <n v="2"/>
    <x v="1"/>
    <x v="3"/>
    <m/>
    <s v="G2"/>
    <s v="RG"/>
    <s v="left"/>
  </r>
  <r>
    <m/>
    <x v="0"/>
    <s v="BDI Video"/>
    <s v="V7- Trimmed"/>
    <n v="2680"/>
    <n v="3"/>
    <x v="2"/>
    <x v="1"/>
    <m/>
    <s v="Suction"/>
    <s v="suction"/>
    <s v="right"/>
  </r>
  <r>
    <m/>
    <x v="0"/>
    <s v="BDI Video"/>
    <s v="V7- Trimmed"/>
    <n v="2700"/>
    <n v="1"/>
    <x v="1"/>
    <x v="3"/>
    <m/>
    <s v="G"/>
    <s v="RG"/>
    <s v="left"/>
  </r>
  <r>
    <m/>
    <x v="0"/>
    <s v="BDI Video"/>
    <s v="V7- Trimmed"/>
    <n v="2700"/>
    <n v="2"/>
    <x v="2"/>
    <x v="3"/>
    <m/>
    <s v="G2"/>
    <s v="RG"/>
    <s v="left"/>
  </r>
  <r>
    <m/>
    <x v="0"/>
    <s v="BDI Video"/>
    <s v="V7- Trimmed"/>
    <n v="2700"/>
    <n v="3"/>
    <x v="3"/>
    <x v="2"/>
    <m/>
    <s v="peanut"/>
    <m/>
    <s v="right"/>
  </r>
  <r>
    <m/>
    <x v="0"/>
    <s v="BDI Video"/>
    <s v="V7- Trimmed"/>
    <n v="2730"/>
    <n v="1"/>
    <x v="4"/>
    <x v="2"/>
    <m/>
    <s v="none"/>
    <m/>
    <m/>
  </r>
  <r>
    <m/>
    <x v="0"/>
    <s v="BDI Video"/>
    <s v="V7- Trimmed"/>
    <n v="2730"/>
    <n v="2"/>
    <x v="2"/>
    <x v="1"/>
    <m/>
    <s v="peanut"/>
    <s v="blunt dissection"/>
    <s v="right"/>
  </r>
  <r>
    <m/>
    <x v="0"/>
    <s v="BDI Video"/>
    <s v="V7- Trimmed"/>
    <n v="2770"/>
    <n v="1"/>
    <x v="2"/>
    <x v="3"/>
    <m/>
    <s v="G"/>
    <s v="other"/>
    <s v="left"/>
  </r>
  <r>
    <m/>
    <x v="0"/>
    <s v="BDI Video"/>
    <s v="V7- Trimmed"/>
    <n v="2770"/>
    <n v="2"/>
    <x v="2"/>
    <x v="3"/>
    <m/>
    <s v="G2"/>
    <s v="RG"/>
    <s v="left"/>
  </r>
  <r>
    <m/>
    <x v="0"/>
    <s v="BDI Video"/>
    <s v="V7- Trimmed"/>
    <n v="2770"/>
    <n v="3"/>
    <x v="4"/>
    <x v="2"/>
    <m/>
    <s v="none"/>
    <m/>
    <m/>
  </r>
  <r>
    <m/>
    <x v="0"/>
    <s v="BDI Video"/>
    <s v="V7- Trimmed"/>
    <n v="2770"/>
    <n v="4"/>
    <x v="2"/>
    <x v="1"/>
    <m/>
    <s v="cautery"/>
    <s v="other"/>
    <s v="right"/>
  </r>
  <r>
    <m/>
    <x v="0"/>
    <s v="BDI Video"/>
    <s v="V7- Trimmed"/>
    <n v="2790"/>
    <n v="1"/>
    <x v="1"/>
    <x v="3"/>
    <m/>
    <s v="G"/>
    <s v="RG"/>
    <s v="left"/>
  </r>
  <r>
    <m/>
    <x v="0"/>
    <s v="BDI Video"/>
    <s v="V7- Trimmed"/>
    <n v="2790"/>
    <n v="2"/>
    <x v="2"/>
    <x v="3"/>
    <m/>
    <s v="G2"/>
    <s v="RG"/>
    <s v="left"/>
  </r>
  <r>
    <m/>
    <x v="0"/>
    <s v="BDI Video"/>
    <s v="V7- Trimmed"/>
    <n v="2790"/>
    <n v="3"/>
    <x v="2"/>
    <x v="1"/>
    <m/>
    <s v="Suction"/>
    <s v="suction"/>
    <s v="right"/>
  </r>
  <r>
    <m/>
    <x v="0"/>
    <s v="BDI Video"/>
    <s v="V7- Trimmed"/>
    <n v="2820"/>
    <n v="1"/>
    <x v="2"/>
    <x v="3"/>
    <m/>
    <s v="G"/>
    <s v="RG"/>
    <s v="left"/>
  </r>
  <r>
    <m/>
    <x v="0"/>
    <s v="BDI Video"/>
    <s v="V7- Trimmed"/>
    <n v="2820"/>
    <n v="2"/>
    <x v="1"/>
    <x v="1"/>
    <m/>
    <s v="peanut"/>
    <s v="blunt dissection"/>
    <s v="right"/>
  </r>
  <r>
    <m/>
    <x v="0"/>
    <s v="BDI Video"/>
    <s v="V7- Trimmed"/>
    <n v="2840"/>
    <n v="1"/>
    <x v="1"/>
    <x v="3"/>
    <m/>
    <s v="G"/>
    <s v="RG"/>
    <s v="left"/>
  </r>
  <r>
    <m/>
    <x v="0"/>
    <s v="BDI Video"/>
    <s v="V7- Trimmed"/>
    <n v="2850"/>
    <n v="1"/>
    <x v="1"/>
    <x v="3"/>
    <m/>
    <s v="G"/>
    <s v="RG"/>
    <s v="left"/>
  </r>
  <r>
    <m/>
    <x v="0"/>
    <s v="BDI Video"/>
    <s v="V7- Trimmed"/>
    <n v="2850"/>
    <n v="2"/>
    <x v="2"/>
    <x v="3"/>
    <m/>
    <s v="Suction"/>
    <s v="other"/>
    <s v="right"/>
  </r>
  <r>
    <m/>
    <x v="0"/>
    <s v="BDI Video"/>
    <s v="V7- Trimmed"/>
    <n v="2850"/>
    <n v="3"/>
    <x v="3"/>
    <x v="2"/>
    <m/>
    <s v="G"/>
    <s v="floating outside zone of interest"/>
    <s v="left"/>
  </r>
  <r>
    <m/>
    <x v="0"/>
    <s v="BDI Video"/>
    <s v="V7- Trimmed"/>
    <n v="2860"/>
    <n v="1"/>
    <x v="1"/>
    <x v="3"/>
    <m/>
    <s v="G"/>
    <s v="RG"/>
    <s v="left"/>
  </r>
  <r>
    <m/>
    <x v="0"/>
    <s v="BDI Video"/>
    <s v="V7- Trimmed"/>
    <n v="2860"/>
    <n v="2"/>
    <x v="2"/>
    <x v="1"/>
    <m/>
    <s v="Suction"/>
    <s v="suction"/>
    <s v="right"/>
  </r>
  <r>
    <m/>
    <x v="0"/>
    <s v="BDI Video"/>
    <s v="V7- Trimmed"/>
    <n v="2860"/>
    <n v="3"/>
    <x v="3"/>
    <x v="2"/>
    <m/>
    <s v="G"/>
    <s v="floating outside zone of interest"/>
    <s v="left"/>
  </r>
  <r>
    <m/>
    <x v="0"/>
    <s v="BDI Video"/>
    <s v="V7- Trimmed"/>
    <n v="2910"/>
    <n v="1"/>
    <x v="1"/>
    <x v="3"/>
    <m/>
    <s v="G"/>
    <s v="RG"/>
    <s v="left"/>
  </r>
  <r>
    <m/>
    <x v="0"/>
    <s v="BDI Video"/>
    <s v="V7- Trimmed"/>
    <n v="2910"/>
    <n v="2"/>
    <x v="3"/>
    <x v="2"/>
    <m/>
    <s v="Suction"/>
    <m/>
    <s v="right"/>
  </r>
  <r>
    <m/>
    <x v="0"/>
    <s v="BDI Video"/>
    <s v="V7- Trimmed"/>
    <n v="2970"/>
    <n v="1"/>
    <x v="4"/>
    <x v="2"/>
    <m/>
    <s v="none"/>
    <m/>
    <m/>
  </r>
  <r>
    <m/>
    <x v="0"/>
    <s v="BDI Video"/>
    <s v="V7- Trimmed"/>
    <n v="2970"/>
    <n v="2"/>
    <x v="2"/>
    <x v="3"/>
    <m/>
    <s v="G"/>
    <s v="RG"/>
    <s v="left"/>
  </r>
  <r>
    <m/>
    <x v="0"/>
    <s v="BDI Video"/>
    <s v="V7- Trimmed"/>
    <n v="2970"/>
    <n v="3"/>
    <x v="1"/>
    <x v="1"/>
    <m/>
    <s v="Suction"/>
    <s v="suction"/>
    <s v="right"/>
  </r>
  <r>
    <m/>
    <x v="0"/>
    <s v="BDI Video"/>
    <s v="V7- Trimmed"/>
    <n v="2980"/>
    <n v="1"/>
    <x v="1"/>
    <x v="3"/>
    <m/>
    <s v="G"/>
    <s v="RG"/>
    <s v="left"/>
  </r>
  <r>
    <m/>
    <x v="0"/>
    <s v="BDI Video"/>
    <s v="V7- Trimmed"/>
    <n v="2980"/>
    <n v="2"/>
    <x v="1"/>
    <x v="3"/>
    <m/>
    <s v="Suction"/>
    <s v="suction"/>
    <s v="right"/>
  </r>
  <r>
    <m/>
    <x v="0"/>
    <s v="BDI Video"/>
    <s v="V7- Trimmed"/>
    <n v="3060"/>
    <n v="1"/>
    <x v="2"/>
    <x v="1"/>
    <m/>
    <s v="Suction"/>
    <s v="other"/>
    <s v="right"/>
  </r>
  <r>
    <m/>
    <x v="0"/>
    <s v="BDI Video"/>
    <s v="V7- Trimmed"/>
    <n v="3060"/>
    <n v="2"/>
    <x v="4"/>
    <x v="2"/>
    <m/>
    <s v="Suction"/>
    <m/>
    <s v="right"/>
  </r>
  <r>
    <m/>
    <x v="0"/>
    <s v="BDI Video"/>
    <s v="V7- Trimmed"/>
    <n v="3090"/>
    <n v="1"/>
    <x v="1"/>
    <x v="3"/>
    <m/>
    <s v="G"/>
    <s v="RG"/>
    <s v="left"/>
  </r>
  <r>
    <m/>
    <x v="0"/>
    <s v="BDI Video"/>
    <s v="V7- Trimmed"/>
    <n v="3090"/>
    <n v="2"/>
    <x v="2"/>
    <x v="3"/>
    <m/>
    <s v="G2"/>
    <s v="RG"/>
    <s v="left"/>
  </r>
  <r>
    <m/>
    <x v="0"/>
    <s v="BDI Video"/>
    <s v="V7- Trimmed"/>
    <n v="3090"/>
    <n v="3"/>
    <x v="2"/>
    <x v="1"/>
    <m/>
    <s v="Suction"/>
    <s v="other"/>
    <s v="right"/>
  </r>
  <r>
    <m/>
    <x v="0"/>
    <s v="BDI Video"/>
    <s v="V7- Trimmed"/>
    <n v="3100"/>
    <n v="1"/>
    <x v="1"/>
    <x v="3"/>
    <m/>
    <s v="G"/>
    <s v="RG"/>
    <s v="left"/>
  </r>
  <r>
    <m/>
    <x v="0"/>
    <s v="BDI Video"/>
    <s v="V7- Trimmed"/>
    <n v="3100"/>
    <n v="2"/>
    <x v="2"/>
    <x v="3"/>
    <m/>
    <s v="G2"/>
    <s v="RG"/>
    <s v="left"/>
  </r>
  <r>
    <m/>
    <x v="0"/>
    <s v="BDI Video"/>
    <s v="V7- Trimmed"/>
    <n v="3100"/>
    <n v="3"/>
    <x v="2"/>
    <x v="1"/>
    <m/>
    <s v="Suction"/>
    <s v="other"/>
    <s v="right"/>
  </r>
  <r>
    <m/>
    <x v="0"/>
    <s v="BDI Video"/>
    <s v="V7- Trimmed"/>
    <n v="3130"/>
    <n v="1"/>
    <x v="1"/>
    <x v="3"/>
    <m/>
    <s v="G"/>
    <s v="RG"/>
    <s v="left"/>
  </r>
  <r>
    <m/>
    <x v="0"/>
    <s v="BDI Video"/>
    <s v="V7- Trimmed"/>
    <n v="3140"/>
    <n v="1"/>
    <x v="1"/>
    <x v="3"/>
    <m/>
    <s v="G"/>
    <s v="RG"/>
    <s v="left"/>
  </r>
  <r>
    <m/>
    <x v="0"/>
    <s v="BDI Video"/>
    <s v="V7- Trimmed"/>
    <n v="3150"/>
    <n v="1"/>
    <x v="1"/>
    <x v="3"/>
    <m/>
    <s v="G"/>
    <s v="RG"/>
    <s v="left"/>
  </r>
  <r>
    <m/>
    <x v="0"/>
    <s v="BDI Video"/>
    <s v="V7- Trimmed"/>
    <n v="3190"/>
    <n v="1"/>
    <x v="1"/>
    <x v="3"/>
    <m/>
    <s v="G"/>
    <s v="RG"/>
    <s v="left"/>
  </r>
  <r>
    <m/>
    <x v="0"/>
    <s v="BDI Video"/>
    <s v="V7- Trimmed"/>
    <n v="3200"/>
    <n v="1"/>
    <x v="4"/>
    <x v="2"/>
    <m/>
    <s v="G"/>
    <m/>
    <s v="left"/>
  </r>
  <r>
    <m/>
    <x v="0"/>
    <s v="BDI Video"/>
    <s v="V7- Trimmed"/>
    <n v="3200"/>
    <n v="2"/>
    <x v="2"/>
    <x v="3"/>
    <m/>
    <s v="G"/>
    <s v="RG"/>
    <s v="left"/>
  </r>
  <r>
    <m/>
    <x v="0"/>
    <s v="BDI Video"/>
    <s v="V7- Trimmed"/>
    <n v="3200"/>
    <n v="3"/>
    <x v="3"/>
    <x v="2"/>
    <m/>
    <s v="dissector"/>
    <m/>
    <s v="right"/>
  </r>
  <r>
    <m/>
    <x v="0"/>
    <s v="BDI Video"/>
    <s v="V7- Trimmed"/>
    <n v="3220"/>
    <n v="1"/>
    <x v="1"/>
    <x v="3"/>
    <m/>
    <s v="G"/>
    <s v="RG"/>
    <s v="left"/>
  </r>
  <r>
    <m/>
    <x v="0"/>
    <s v="BDI Video"/>
    <s v="V7- Trimmed"/>
    <n v="3220"/>
    <n v="2"/>
    <x v="3"/>
    <x v="2"/>
    <m/>
    <s v="dissector"/>
    <m/>
    <s v="right"/>
  </r>
  <r>
    <m/>
    <x v="0"/>
    <s v="BDI Video"/>
    <s v="V7- Trimmed"/>
    <n v="3330"/>
    <n v="1"/>
    <x v="4"/>
    <x v="2"/>
    <m/>
    <s v="none"/>
    <m/>
    <m/>
  </r>
  <r>
    <m/>
    <x v="0"/>
    <s v="BDI Video"/>
    <s v="V7- Trimmed"/>
    <n v="3330"/>
    <n v="2"/>
    <x v="2"/>
    <x v="3"/>
    <m/>
    <s v="G"/>
    <s v="RG"/>
    <s v="left"/>
  </r>
  <r>
    <m/>
    <x v="0"/>
    <s v="BDI Video"/>
    <s v="V7- Trimmed"/>
    <n v="3330"/>
    <n v="3"/>
    <x v="2"/>
    <x v="1"/>
    <m/>
    <s v="dissector"/>
    <s v="blunt dissection"/>
    <s v="right"/>
  </r>
  <r>
    <m/>
    <x v="0"/>
    <s v="BDI Video"/>
    <s v="V7- Trimmed"/>
    <n v="3350"/>
    <n v="1"/>
    <x v="2"/>
    <x v="3"/>
    <m/>
    <s v="G"/>
    <s v="RG"/>
    <s v="left"/>
  </r>
  <r>
    <m/>
    <x v="0"/>
    <s v="BDI Video"/>
    <s v="V7- Trimmed"/>
    <n v="3350"/>
    <n v="2"/>
    <x v="4"/>
    <x v="2"/>
    <m/>
    <s v="G"/>
    <m/>
    <s v="left"/>
  </r>
  <r>
    <m/>
    <x v="0"/>
    <s v="BDI Video"/>
    <s v="V7- Trimmed"/>
    <n v="3350"/>
    <n v="3"/>
    <x v="3"/>
    <x v="2"/>
    <m/>
    <s v="Suction"/>
    <m/>
    <s v="right"/>
  </r>
  <r>
    <m/>
    <x v="0"/>
    <s v="BDI Video"/>
    <s v="V7- Trimmed"/>
    <n v="3380"/>
    <n v="1"/>
    <x v="1"/>
    <x v="1"/>
    <m/>
    <s v="ligasure"/>
    <s v="energy-sharp dissection"/>
    <s v="right"/>
  </r>
  <r>
    <m/>
    <x v="0"/>
    <s v="BDI Video"/>
    <s v="V7- Trimmed"/>
    <n v="3400"/>
    <n v="1"/>
    <x v="4"/>
    <x v="2"/>
    <m/>
    <s v="none"/>
    <m/>
    <m/>
  </r>
  <r>
    <m/>
    <x v="0"/>
    <s v="BDI Video"/>
    <s v="V7- Trimmed"/>
    <n v="3400"/>
    <n v="2"/>
    <x v="2"/>
    <x v="3"/>
    <m/>
    <s v="Suction"/>
    <s v="other"/>
    <s v="right"/>
  </r>
  <r>
    <m/>
    <x v="0"/>
    <s v="BDI Video"/>
    <s v="V7- Trimmed"/>
    <n v="3460"/>
    <n v="1"/>
    <x v="1"/>
    <x v="3"/>
    <m/>
    <s v="G"/>
    <s v="RG"/>
    <s v="left"/>
  </r>
  <r>
    <m/>
    <x v="0"/>
    <s v="BDI Video"/>
    <s v="V7- Trimmed"/>
    <n v="3460"/>
    <n v="2"/>
    <x v="3"/>
    <x v="2"/>
    <m/>
    <s v="dissector"/>
    <m/>
    <s v="right"/>
  </r>
  <r>
    <m/>
    <x v="0"/>
    <s v="BDI Video"/>
    <s v="V7- Trimmed"/>
    <n v="3460"/>
    <n v="3"/>
    <x v="4"/>
    <x v="2"/>
    <m/>
    <s v="none"/>
    <m/>
    <m/>
  </r>
  <r>
    <m/>
    <x v="0"/>
    <s v="BDI Video"/>
    <s v="V7- Trimmed"/>
    <n v="3530"/>
    <n v="1"/>
    <x v="1"/>
    <x v="3"/>
    <m/>
    <s v="G"/>
    <s v="RG"/>
    <s v="left"/>
  </r>
  <r>
    <m/>
    <x v="0"/>
    <s v="BDI Video"/>
    <s v="V7- Trimmed"/>
    <n v="3530"/>
    <n v="2"/>
    <x v="2"/>
    <x v="1"/>
    <m/>
    <s v="Suction"/>
    <s v="other"/>
    <s v="right"/>
  </r>
  <r>
    <m/>
    <x v="0"/>
    <s v="BDI Video"/>
    <s v="V7- Trimmed"/>
    <n v="3570"/>
    <n v="1"/>
    <x v="1"/>
    <x v="3"/>
    <m/>
    <s v="G"/>
    <s v="RG"/>
    <s v="left"/>
  </r>
  <r>
    <m/>
    <x v="0"/>
    <s v="BDI Video"/>
    <s v="V7- Trimmed"/>
    <n v="3570"/>
    <n v="2"/>
    <x v="2"/>
    <x v="3"/>
    <m/>
    <s v="Suction"/>
    <s v="other"/>
    <s v="right"/>
  </r>
  <r>
    <m/>
    <x v="0"/>
    <s v="BDI Video"/>
    <s v="V7- Trimmed"/>
    <n v="3580"/>
    <n v="1"/>
    <x v="2"/>
    <x v="3"/>
    <m/>
    <s v="G"/>
    <s v="RG"/>
    <s v="left"/>
  </r>
  <r>
    <m/>
    <x v="0"/>
    <s v="BDI Video"/>
    <s v="V7- Trimmed"/>
    <n v="3580"/>
    <n v="2"/>
    <x v="1"/>
    <x v="1"/>
    <m/>
    <s v="Suction"/>
    <s v="other"/>
    <s v="right"/>
  </r>
  <r>
    <m/>
    <x v="0"/>
    <s v="BDI Video"/>
    <s v="V7- Trimmed"/>
    <n v="3650"/>
    <n v="1"/>
    <x v="1"/>
    <x v="3"/>
    <m/>
    <s v="G"/>
    <s v="RG"/>
    <s v="left"/>
  </r>
  <r>
    <m/>
    <x v="0"/>
    <s v="BDI Video"/>
    <s v="V7- Trimmed"/>
    <n v="3650"/>
    <n v="2"/>
    <x v="2"/>
    <x v="1"/>
    <m/>
    <s v="ligasure"/>
    <s v="energy-sharp dissection"/>
    <s v="right"/>
  </r>
  <r>
    <m/>
    <x v="0"/>
    <s v="BDI Video"/>
    <s v="V7- Trimmed"/>
    <n v="3670"/>
    <n v="1"/>
    <x v="1"/>
    <x v="3"/>
    <m/>
    <s v="G"/>
    <s v="RG"/>
    <s v="left"/>
  </r>
  <r>
    <m/>
    <x v="0"/>
    <s v="BDI Video"/>
    <s v="V7- Trimmed"/>
    <n v="3670"/>
    <n v="2"/>
    <x v="4"/>
    <x v="2"/>
    <m/>
    <s v="Suction"/>
    <m/>
    <s v="right"/>
  </r>
  <r>
    <m/>
    <x v="0"/>
    <s v="BDI Video"/>
    <s v="V7- Trimmed"/>
    <n v="3690"/>
    <n v="1"/>
    <x v="1"/>
    <x v="3"/>
    <m/>
    <s v="G"/>
    <s v="RG"/>
    <s v="left"/>
  </r>
  <r>
    <m/>
    <x v="0"/>
    <s v="BDI Video"/>
    <s v="V7- Trimmed"/>
    <n v="3690"/>
    <n v="2"/>
    <x v="2"/>
    <x v="1"/>
    <m/>
    <s v="Suction"/>
    <s v="other"/>
    <s v="right"/>
  </r>
  <r>
    <m/>
    <x v="0"/>
    <s v="BDI Video"/>
    <s v="V7- Trimmed"/>
    <n v="3700"/>
    <n v="1"/>
    <x v="1"/>
    <x v="3"/>
    <m/>
    <s v="G"/>
    <s v="RG"/>
    <s v="left"/>
  </r>
  <r>
    <m/>
    <x v="0"/>
    <s v="BDI Video"/>
    <s v="V7- Trimmed"/>
    <n v="3700"/>
    <n v="2"/>
    <x v="3"/>
    <x v="2"/>
    <m/>
    <s v="Suction"/>
    <m/>
    <s v="right"/>
  </r>
  <r>
    <m/>
    <x v="0"/>
    <s v="BDI Video"/>
    <s v="V7- Trimmed"/>
    <n v="3720"/>
    <n v="1"/>
    <x v="4"/>
    <x v="2"/>
    <m/>
    <s v="G"/>
    <m/>
    <s v="left"/>
  </r>
  <r>
    <m/>
    <x v="0"/>
    <s v="BDI Video"/>
    <s v="V7- Trimmed"/>
    <n v="3720"/>
    <n v="2"/>
    <x v="3"/>
    <x v="2"/>
    <m/>
    <s v="G2"/>
    <m/>
    <s v="left"/>
  </r>
  <r>
    <m/>
    <x v="0"/>
    <s v="BDI Video"/>
    <s v="V7- Trimmed"/>
    <n v="3720"/>
    <n v="3"/>
    <x v="2"/>
    <x v="1"/>
    <m/>
    <s v="Suction"/>
    <s v="other"/>
    <s v="right"/>
  </r>
  <r>
    <m/>
    <x v="0"/>
    <s v="BDI Video"/>
    <s v="V7- Trimmed"/>
    <n v="3740"/>
    <n v="1"/>
    <x v="1"/>
    <x v="3"/>
    <m/>
    <s v="G"/>
    <s v="RG"/>
    <s v="left"/>
  </r>
  <r>
    <m/>
    <x v="0"/>
    <s v="BDI Video"/>
    <s v="V7- Trimmed"/>
    <n v="3790"/>
    <n v="1"/>
    <x v="1"/>
    <x v="3"/>
    <m/>
    <s v="G"/>
    <s v="RG"/>
    <s v="left"/>
  </r>
  <r>
    <m/>
    <x v="0"/>
    <s v="BDI Video"/>
    <s v="V7- Trimmed"/>
    <n v="3790"/>
    <n v="2"/>
    <x v="3"/>
    <x v="2"/>
    <m/>
    <s v="Suction"/>
    <m/>
    <s v="right"/>
  </r>
  <r>
    <m/>
    <x v="0"/>
    <s v="BDI Video"/>
    <s v="V7- Trimmed"/>
    <n v="3850"/>
    <n v="1"/>
    <x v="1"/>
    <x v="3"/>
    <m/>
    <s v="G"/>
    <s v="RG"/>
    <s v="left"/>
  </r>
  <r>
    <m/>
    <x v="0"/>
    <s v="BDI Video"/>
    <s v="V7- Trimmed"/>
    <n v="3890"/>
    <n v="1"/>
    <x v="1"/>
    <x v="3"/>
    <m/>
    <s v="G"/>
    <s v="RG"/>
    <s v="left"/>
  </r>
  <r>
    <m/>
    <x v="0"/>
    <s v="BDI Video"/>
    <s v="V7- Trimmed"/>
    <n v="3890"/>
    <n v="2"/>
    <x v="2"/>
    <x v="1"/>
    <m/>
    <s v="Suction"/>
    <s v="other"/>
    <s v="right"/>
  </r>
  <r>
    <m/>
    <x v="0"/>
    <s v="BDI Video"/>
    <s v="V7- Trimmed"/>
    <n v="3930"/>
    <n v="1"/>
    <x v="1"/>
    <x v="3"/>
    <m/>
    <s v="G"/>
    <s v="RG"/>
    <s v="left"/>
  </r>
  <r>
    <m/>
    <x v="0"/>
    <s v="BDI Video"/>
    <s v="V7- Trimmed"/>
    <n v="3930"/>
    <n v="2"/>
    <x v="2"/>
    <x v="3"/>
    <m/>
    <s v="G2"/>
    <s v="RG"/>
    <s v="left"/>
  </r>
  <r>
    <m/>
    <x v="0"/>
    <s v="BDI Video"/>
    <s v="V7- Trimmed"/>
    <n v="3950"/>
    <n v="1"/>
    <x v="1"/>
    <x v="3"/>
    <m/>
    <s v="G"/>
    <s v="RG"/>
    <s v="left"/>
  </r>
  <r>
    <m/>
    <x v="0"/>
    <s v="BDI Video"/>
    <s v="V7- Trimmed"/>
    <n v="3950"/>
    <n v="2"/>
    <x v="3"/>
    <x v="2"/>
    <m/>
    <s v="G2"/>
    <m/>
    <s v="left"/>
  </r>
  <r>
    <m/>
    <x v="0"/>
    <s v="BDI Video"/>
    <s v="V7- Trimmed"/>
    <n v="3970"/>
    <n v="1"/>
    <x v="1"/>
    <x v="3"/>
    <m/>
    <s v="G"/>
    <s v="RG"/>
    <s v="left"/>
  </r>
  <r>
    <m/>
    <x v="0"/>
    <s v="BDI Video"/>
    <s v="V7- Trimmed"/>
    <n v="3970"/>
    <n v="2"/>
    <x v="3"/>
    <x v="2"/>
    <m/>
    <s v="ligasure"/>
    <m/>
    <s v="right"/>
  </r>
  <r>
    <m/>
    <x v="0"/>
    <s v="BDI Video"/>
    <s v="V7- Trimmed"/>
    <n v="3980"/>
    <n v="1"/>
    <x v="1"/>
    <x v="3"/>
    <m/>
    <s v="G"/>
    <s v="RG"/>
    <s v="left"/>
  </r>
  <r>
    <m/>
    <x v="0"/>
    <s v="BDI Video"/>
    <s v="V7- Trimmed"/>
    <n v="3980"/>
    <n v="2"/>
    <x v="2"/>
    <x v="3"/>
    <m/>
    <s v="ligasure"/>
    <s v="other"/>
    <s v="right"/>
  </r>
  <r>
    <m/>
    <x v="0"/>
    <s v="BDI Video"/>
    <s v="V10-Trimmed"/>
    <n v="40"/>
    <n v="1"/>
    <x v="1"/>
    <x v="1"/>
    <m/>
    <s v="cautery"/>
    <s v="other"/>
    <s v="right"/>
  </r>
  <r>
    <m/>
    <x v="0"/>
    <s v="BDI Video"/>
    <s v="V10-Trimmed"/>
    <n v="80"/>
    <n v="1"/>
    <x v="1"/>
    <x v="3"/>
    <m/>
    <s v="G"/>
    <s v="RG"/>
    <s v="left"/>
  </r>
  <r>
    <m/>
    <x v="0"/>
    <s v="BDI Video"/>
    <s v="V10-Trimmed"/>
    <n v="80"/>
    <n v="2"/>
    <x v="3"/>
    <x v="2"/>
    <m/>
    <s v="Suction"/>
    <m/>
    <s v="right"/>
  </r>
  <r>
    <m/>
    <x v="0"/>
    <s v="BDI Video"/>
    <s v="V10-Trimmed"/>
    <n v="290"/>
    <n v="1"/>
    <x v="1"/>
    <x v="3"/>
    <m/>
    <s v="G"/>
    <s v="RG"/>
    <s v="left"/>
  </r>
  <r>
    <m/>
    <x v="0"/>
    <s v="BDI Video"/>
    <s v="V10-Trimmed"/>
    <n v="290"/>
    <n v="2"/>
    <x v="2"/>
    <x v="1"/>
    <m/>
    <s v="Suction"/>
    <s v="other"/>
    <s v="right"/>
  </r>
  <r>
    <m/>
    <x v="0"/>
    <s v="BDI Video"/>
    <s v="V10-Trimmed"/>
    <n v="290"/>
    <n v="3"/>
    <x v="4"/>
    <x v="2"/>
    <m/>
    <s v="G"/>
    <m/>
    <s v="left"/>
  </r>
  <r>
    <m/>
    <x v="0"/>
    <s v="BDI Video"/>
    <s v="V10-Trimmed"/>
    <n v="300"/>
    <n v="1"/>
    <x v="2"/>
    <x v="3"/>
    <m/>
    <s v="G"/>
    <s v="RG"/>
    <s v="left"/>
  </r>
  <r>
    <m/>
    <x v="0"/>
    <s v="BDI Video"/>
    <s v="V10-Trimmed"/>
    <n v="300"/>
    <n v="2"/>
    <x v="1"/>
    <x v="1"/>
    <m/>
    <s v="Suction"/>
    <s v="other"/>
    <s v="right"/>
  </r>
  <r>
    <m/>
    <x v="0"/>
    <s v="BDI Video"/>
    <s v="V10-Trimmed"/>
    <n v="400"/>
    <n v="1"/>
    <x v="4"/>
    <x v="2"/>
    <m/>
    <s v="none"/>
    <m/>
    <m/>
  </r>
  <r>
    <m/>
    <x v="0"/>
    <s v="BDI Video"/>
    <s v="V10-Trimmed"/>
    <n v="400"/>
    <n v="2"/>
    <x v="2"/>
    <x v="1"/>
    <m/>
    <s v="G"/>
    <s v="RG"/>
    <s v="left"/>
  </r>
  <r>
    <m/>
    <x v="0"/>
    <s v="BDI Video"/>
    <s v="V10-Trimmed"/>
    <n v="450"/>
    <n v="1"/>
    <x v="4"/>
    <x v="2"/>
    <m/>
    <s v="none"/>
    <m/>
    <m/>
  </r>
  <r>
    <m/>
    <x v="0"/>
    <s v="BDI Video"/>
    <s v="V10-Trimmed"/>
    <n v="450"/>
    <n v="2"/>
    <x v="2"/>
    <x v="1"/>
    <m/>
    <s v="cautery"/>
    <s v="energy-sharp dissection"/>
    <s v="right"/>
  </r>
  <r>
    <m/>
    <x v="0"/>
    <s v="BDI Video"/>
    <s v="V10-Trimmed"/>
    <n v="500"/>
    <n v="1"/>
    <x v="2"/>
    <x v="1"/>
    <m/>
    <s v="G"/>
    <s v="other"/>
    <s v="left"/>
  </r>
  <r>
    <m/>
    <x v="0"/>
    <s v="BDI Video"/>
    <s v="V10-Trimmed"/>
    <n v="500"/>
    <n v="2"/>
    <x v="1"/>
    <x v="1"/>
    <m/>
    <s v="Suction"/>
    <s v="suction"/>
    <s v="right"/>
  </r>
  <r>
    <m/>
    <x v="0"/>
    <s v="BDI Video"/>
    <s v="V10-Trimmed"/>
    <n v="520"/>
    <n v="1"/>
    <x v="1"/>
    <x v="3"/>
    <m/>
    <s v="G"/>
    <s v="RG"/>
    <s v="left"/>
  </r>
  <r>
    <m/>
    <x v="0"/>
    <s v="BDI Video"/>
    <s v="V10-Trimmed"/>
    <n v="520"/>
    <n v="2"/>
    <x v="2"/>
    <x v="1"/>
    <m/>
    <s v="Suction"/>
    <s v="other"/>
    <s v="right"/>
  </r>
  <r>
    <m/>
    <x v="0"/>
    <s v="BDI Video"/>
    <s v="V10-Trimmed"/>
    <n v="630"/>
    <n v="1"/>
    <x v="1"/>
    <x v="3"/>
    <m/>
    <s v="G"/>
    <s v="RG"/>
    <s v="left"/>
  </r>
  <r>
    <m/>
    <x v="0"/>
    <s v="BDI Video"/>
    <s v="V10-Trimmed"/>
    <n v="630"/>
    <n v="2"/>
    <x v="2"/>
    <x v="3"/>
    <m/>
    <s v="Suction"/>
    <s v="other"/>
    <s v="right"/>
  </r>
  <r>
    <m/>
    <x v="0"/>
    <s v="BDI Video"/>
    <s v="V10-Trimmed"/>
    <n v="650"/>
    <n v="1"/>
    <x v="1"/>
    <x v="1"/>
    <m/>
    <s v="G"/>
    <s v="RG"/>
    <s v="left"/>
  </r>
  <r>
    <m/>
    <x v="0"/>
    <s v="BDI Video"/>
    <s v="V10-Trimmed"/>
    <n v="650"/>
    <n v="2"/>
    <x v="2"/>
    <x v="1"/>
    <m/>
    <s v="Suction"/>
    <s v="other"/>
    <s v="right"/>
  </r>
  <r>
    <m/>
    <x v="0"/>
    <s v="BDI Video"/>
    <s v="V10-Trimmed"/>
    <n v="700"/>
    <n v="1"/>
    <x v="4"/>
    <x v="2"/>
    <m/>
    <s v="none"/>
    <m/>
    <m/>
  </r>
  <r>
    <m/>
    <x v="0"/>
    <s v="BDI Video"/>
    <s v="V10-Trimmed"/>
    <n v="700"/>
    <n v="2"/>
    <x v="3"/>
    <x v="2"/>
    <m/>
    <s v="G"/>
    <m/>
    <s v="left"/>
  </r>
  <r>
    <m/>
    <x v="0"/>
    <s v="BDI Video"/>
    <s v="V10-Trimmed"/>
    <n v="780"/>
    <n v="1"/>
    <x v="1"/>
    <x v="1"/>
    <m/>
    <s v="dissector"/>
    <s v="blunt dissection"/>
    <s v="right"/>
  </r>
  <r>
    <m/>
    <x v="0"/>
    <s v="BDI Video"/>
    <s v="V10-Trimmed"/>
    <n v="800"/>
    <n v="1"/>
    <x v="4"/>
    <x v="2"/>
    <m/>
    <s v="none"/>
    <m/>
    <m/>
  </r>
  <r>
    <m/>
    <x v="0"/>
    <s v="BDI Video"/>
    <s v="V10-Trimmed"/>
    <n v="800"/>
    <n v="2"/>
    <x v="3"/>
    <x v="2"/>
    <m/>
    <s v="dissector"/>
    <m/>
    <s v="right"/>
  </r>
  <r>
    <m/>
    <x v="0"/>
    <s v="BDI Video"/>
    <s v="V10-Trimmed"/>
    <n v="810"/>
    <n v="1"/>
    <x v="1"/>
    <x v="1"/>
    <m/>
    <s v="G"/>
    <s v="RG"/>
    <s v="left"/>
  </r>
  <r>
    <m/>
    <x v="0"/>
    <s v="BDI Video"/>
    <s v="V10-Trimmed"/>
    <n v="810"/>
    <n v="2"/>
    <x v="4"/>
    <x v="2"/>
    <m/>
    <s v="dissector"/>
    <m/>
    <s v="right"/>
  </r>
  <r>
    <m/>
    <x v="0"/>
    <s v="BDI Video"/>
    <s v="V10-Trimmed"/>
    <n v="830"/>
    <n v="1"/>
    <x v="1"/>
    <x v="4"/>
    <s v="TBRHS"/>
    <m/>
    <m/>
    <m/>
  </r>
  <r>
    <m/>
    <x v="0"/>
    <s v="BDI Video"/>
    <s v="V10-Trimmed"/>
    <n v="830"/>
    <n v="2"/>
    <x v="0"/>
    <x v="4"/>
    <s v="TBRHS"/>
    <m/>
    <m/>
    <m/>
  </r>
  <r>
    <m/>
    <x v="0"/>
    <s v="BDI Video"/>
    <s v="V10-Trimmed"/>
    <n v="840"/>
    <n v="1"/>
    <x v="0"/>
    <x v="4"/>
    <s v="TBRHS"/>
    <m/>
    <m/>
    <m/>
  </r>
  <r>
    <m/>
    <x v="0"/>
    <s v="BDI Video"/>
    <s v="V10-Trimmed"/>
    <n v="840"/>
    <n v="2"/>
    <x v="0"/>
    <x v="4"/>
    <s v="TBRHS"/>
    <m/>
    <m/>
    <m/>
  </r>
  <r>
    <m/>
    <x v="0"/>
    <s v="BDI Video"/>
    <s v="V10-Trimmed"/>
    <n v="900"/>
    <n v="1"/>
    <x v="1"/>
    <x v="1"/>
    <m/>
    <s v="G"/>
    <s v="RG"/>
    <s v="left"/>
  </r>
  <r>
    <m/>
    <x v="0"/>
    <s v="BDI Video"/>
    <s v="V10-Trimmed"/>
    <n v="920"/>
    <n v="1"/>
    <x v="1"/>
    <x v="1"/>
    <m/>
    <s v="G"/>
    <s v="RG"/>
    <s v="left"/>
  </r>
  <r>
    <m/>
    <x v="0"/>
    <s v="BDI Video"/>
    <s v="V10-Trimmed"/>
    <n v="920"/>
    <n v="2"/>
    <x v="4"/>
    <x v="2"/>
    <m/>
    <s v="none"/>
    <m/>
    <m/>
  </r>
  <r>
    <m/>
    <x v="0"/>
    <s v="BDI Video"/>
    <s v="V10-Trimmed"/>
    <n v="920"/>
    <n v="3"/>
    <x v="3"/>
    <x v="2"/>
    <m/>
    <s v="dissector"/>
    <m/>
    <s v="right"/>
  </r>
  <r>
    <m/>
    <x v="0"/>
    <s v="BDI Video"/>
    <s v="V10-Trimmed"/>
    <n v="960"/>
    <n v="1"/>
    <x v="1"/>
    <x v="1"/>
    <m/>
    <s v="G"/>
    <s v="RG"/>
    <s v="left"/>
  </r>
  <r>
    <m/>
    <x v="0"/>
    <s v="BDI Video"/>
    <s v="V10-Trimmed"/>
    <n v="970"/>
    <n v="1"/>
    <x v="1"/>
    <x v="1"/>
    <m/>
    <s v="G"/>
    <s v="RG"/>
    <s v="left"/>
  </r>
  <r>
    <m/>
    <x v="0"/>
    <s v="BDI Video"/>
    <s v="V10-Trimmed"/>
    <n v="980"/>
    <n v="1"/>
    <x v="1"/>
    <x v="1"/>
    <m/>
    <s v="G"/>
    <s v="RG"/>
    <s v="left"/>
  </r>
  <r>
    <m/>
    <x v="0"/>
    <s v="BDI Video"/>
    <s v="V10-Trimmed"/>
    <n v="980"/>
    <n v="2"/>
    <x v="3"/>
    <x v="2"/>
    <m/>
    <s v="dissector"/>
    <m/>
    <s v="right"/>
  </r>
  <r>
    <m/>
    <x v="0"/>
    <s v="BDI Video"/>
    <s v="V10-Trimmed"/>
    <n v="990"/>
    <n v="1"/>
    <x v="1"/>
    <x v="1"/>
    <m/>
    <s v="G"/>
    <s v="RG"/>
    <s v="left"/>
  </r>
  <r>
    <m/>
    <x v="0"/>
    <s v="BDI Video"/>
    <s v="V10-Trimmed"/>
    <n v="990"/>
    <n v="2"/>
    <x v="3"/>
    <x v="2"/>
    <m/>
    <s v="dissector"/>
    <m/>
    <s v="right"/>
  </r>
  <r>
    <m/>
    <x v="0"/>
    <s v="BDI Video"/>
    <s v="V10-Trimmed"/>
    <n v="1010"/>
    <n v="1"/>
    <x v="1"/>
    <x v="1"/>
    <m/>
    <s v="G"/>
    <s v="RG"/>
    <s v="left"/>
  </r>
  <r>
    <m/>
    <x v="0"/>
    <s v="BDI Video"/>
    <s v="V10-Trimmed"/>
    <n v="1010"/>
    <n v="2"/>
    <x v="2"/>
    <x v="1"/>
    <m/>
    <s v="dissector"/>
    <s v="other"/>
    <s v="right"/>
  </r>
  <r>
    <m/>
    <x v="0"/>
    <s v="BDI Video"/>
    <s v="V10-Trimmed"/>
    <n v="1020"/>
    <n v="1"/>
    <x v="1"/>
    <x v="1"/>
    <m/>
    <s v="G"/>
    <s v="RG"/>
    <s v="left"/>
  </r>
  <r>
    <m/>
    <x v="0"/>
    <s v="BDI Video"/>
    <s v="V10-Trimmed"/>
    <n v="1020"/>
    <n v="2"/>
    <x v="1"/>
    <x v="1"/>
    <m/>
    <s v="dissector"/>
    <s v="other"/>
    <s v="right"/>
  </r>
  <r>
    <m/>
    <x v="0"/>
    <s v="BDI Video"/>
    <s v="V10-Trimmed"/>
    <n v="1080"/>
    <n v="1"/>
    <x v="1"/>
    <x v="3"/>
    <m/>
    <s v="G"/>
    <s v="RG"/>
    <s v="left"/>
  </r>
  <r>
    <m/>
    <x v="0"/>
    <s v="BDI Video"/>
    <s v="V10-Trimmed"/>
    <n v="1080"/>
    <n v="2"/>
    <x v="3"/>
    <x v="2"/>
    <m/>
    <s v="G2"/>
    <m/>
    <s v="right"/>
  </r>
  <r>
    <m/>
    <x v="0"/>
    <s v="BDI Video"/>
    <s v="V10-Trimmed"/>
    <n v="1090"/>
    <n v="1"/>
    <x v="1"/>
    <x v="4"/>
    <s v="TBRHS"/>
    <m/>
    <m/>
    <m/>
  </r>
  <r>
    <m/>
    <x v="0"/>
    <s v="BDI Video"/>
    <s v="V10-Trimmed"/>
    <n v="1090"/>
    <n v="2"/>
    <x v="3"/>
    <x v="2"/>
    <s v="TBRHS"/>
    <s v="G"/>
    <m/>
    <s v="left"/>
  </r>
  <r>
    <m/>
    <x v="0"/>
    <s v="BDI Video"/>
    <s v="V10-Trimmed"/>
    <n v="1100"/>
    <n v="1"/>
    <x v="0"/>
    <x v="4"/>
    <s v="TBRHS"/>
    <m/>
    <m/>
    <m/>
  </r>
  <r>
    <m/>
    <x v="0"/>
    <s v="BDI Video"/>
    <s v="V10-Trimmed"/>
    <n v="1100"/>
    <n v="2"/>
    <x v="3"/>
    <x v="2"/>
    <m/>
    <s v="G"/>
    <m/>
    <s v="left"/>
  </r>
  <r>
    <m/>
    <x v="0"/>
    <s v="BDI Video"/>
    <s v="V10-Trimmed"/>
    <n v="1210"/>
    <n v="1"/>
    <x v="2"/>
    <x v="1"/>
    <m/>
    <s v="G"/>
    <s v="RG"/>
    <s v="left"/>
  </r>
  <r>
    <m/>
    <x v="0"/>
    <s v="BDI Video"/>
    <s v="V10-Trimmed"/>
    <n v="1210"/>
    <n v="2"/>
    <x v="4"/>
    <x v="2"/>
    <m/>
    <s v="G2"/>
    <m/>
    <s v="left"/>
  </r>
  <r>
    <m/>
    <x v="0"/>
    <s v="BDI Video"/>
    <s v="V10-Trimmed"/>
    <n v="1270"/>
    <n v="1"/>
    <x v="1"/>
    <x v="1"/>
    <m/>
    <s v="G"/>
    <s v="RG"/>
    <s v="left"/>
  </r>
  <r>
    <m/>
    <x v="0"/>
    <s v="BDI Video"/>
    <s v="V10-Trimmed"/>
    <n v="1270"/>
    <n v="2"/>
    <x v="3"/>
    <x v="2"/>
    <m/>
    <s v="Suction"/>
    <m/>
    <s v="right"/>
  </r>
  <r>
    <m/>
    <x v="0"/>
    <s v="BDI Video"/>
    <s v="V10-Trimmed"/>
    <n v="1510"/>
    <n v="1"/>
    <x v="1"/>
    <x v="1"/>
    <m/>
    <s v="G"/>
    <s v="RG"/>
    <s v="left"/>
  </r>
  <r>
    <m/>
    <x v="0"/>
    <s v="BDI Video"/>
    <s v="V10-Trimmed"/>
    <n v="1510"/>
    <n v="2"/>
    <x v="2"/>
    <x v="1"/>
    <m/>
    <s v="Suction"/>
    <s v="other"/>
    <s v="right"/>
  </r>
  <r>
    <m/>
    <x v="0"/>
    <s v="BDI Video"/>
    <s v="V10-Trimmed"/>
    <n v="1520"/>
    <n v="1"/>
    <x v="1"/>
    <x v="1"/>
    <m/>
    <s v="G"/>
    <s v="RG"/>
    <s v="left"/>
  </r>
  <r>
    <m/>
    <x v="0"/>
    <s v="BDI Video"/>
    <s v="V10-Trimmed"/>
    <n v="1540"/>
    <n v="1"/>
    <x v="4"/>
    <x v="2"/>
    <m/>
    <s v="none"/>
    <m/>
    <m/>
  </r>
  <r>
    <m/>
    <x v="0"/>
    <s v="BDI Video"/>
    <s v="V10-Trimmed"/>
    <n v="1540"/>
    <n v="2"/>
    <x v="2"/>
    <x v="3"/>
    <m/>
    <s v="G"/>
    <s v="RG"/>
    <s v="left"/>
  </r>
  <r>
    <m/>
    <x v="0"/>
    <s v="BDI Video"/>
    <s v="V10-Trimmed"/>
    <n v="1540"/>
    <n v="3"/>
    <x v="1"/>
    <x v="1"/>
    <m/>
    <s v="G2"/>
    <s v="other"/>
    <s v="left"/>
  </r>
  <r>
    <m/>
    <x v="0"/>
    <s v="BDI Video"/>
    <s v="V10-Trimmed"/>
    <n v="1570"/>
    <n v="1"/>
    <x v="1"/>
    <x v="1"/>
    <m/>
    <s v="G"/>
    <s v="RG"/>
    <s v="left"/>
  </r>
  <r>
    <m/>
    <x v="0"/>
    <s v="BDI Video"/>
    <s v="V10-Trimmed"/>
    <n v="1580"/>
    <n v="1"/>
    <x v="1"/>
    <x v="1"/>
    <m/>
    <s v="G"/>
    <s v="RG"/>
    <s v="left"/>
  </r>
  <r>
    <m/>
    <x v="0"/>
    <s v="BDI Video"/>
    <s v="V10-Trimmed"/>
    <n v="1590"/>
    <n v="1"/>
    <x v="1"/>
    <x v="1"/>
    <m/>
    <s v="G"/>
    <s v="RG"/>
    <s v="left"/>
  </r>
  <r>
    <m/>
    <x v="0"/>
    <s v="BDI Video"/>
    <s v="V10-Trimmed"/>
    <n v="1590"/>
    <n v="2"/>
    <x v="2"/>
    <x v="1"/>
    <m/>
    <s v="dissector"/>
    <s v="blunt dissection"/>
    <s v="right"/>
  </r>
  <r>
    <m/>
    <x v="0"/>
    <s v="BDI Video"/>
    <s v="V10-Trimmed"/>
    <n v="1620"/>
    <n v="1"/>
    <x v="1"/>
    <x v="1"/>
    <m/>
    <s v="G"/>
    <s v="RG"/>
    <s v="left"/>
  </r>
  <r>
    <m/>
    <x v="0"/>
    <s v="BDI Video"/>
    <s v="V10-Trimmed"/>
    <n v="1620"/>
    <n v="2"/>
    <x v="3"/>
    <x v="2"/>
    <m/>
    <s v="dissector"/>
    <m/>
    <s v="right"/>
  </r>
  <r>
    <m/>
    <x v="0"/>
    <s v="BDI Video"/>
    <s v="V10-Trimmed"/>
    <n v="1640"/>
    <n v="1"/>
    <x v="1"/>
    <x v="3"/>
    <m/>
    <s v="G"/>
    <s v="RG"/>
    <s v="left"/>
  </r>
  <r>
    <m/>
    <x v="0"/>
    <s v="BDI Video"/>
    <s v="V10-Trimmed"/>
    <n v="1660"/>
    <n v="1"/>
    <x v="4"/>
    <x v="2"/>
    <m/>
    <s v="clip"/>
    <m/>
    <s v="right"/>
  </r>
  <r>
    <m/>
    <x v="0"/>
    <s v="BDI Video"/>
    <s v="V10-Trimmed"/>
    <n v="1670"/>
    <n v="1"/>
    <x v="1"/>
    <x v="3"/>
    <m/>
    <s v="G"/>
    <s v="RG"/>
    <s v="left"/>
  </r>
  <r>
    <m/>
    <x v="0"/>
    <s v="BDI Video"/>
    <s v="V10-Trimmed"/>
    <n v="1670"/>
    <n v="2"/>
    <x v="3"/>
    <x v="2"/>
    <m/>
    <s v="clip"/>
    <m/>
    <s v="right"/>
  </r>
  <r>
    <m/>
    <x v="0"/>
    <s v="BDI Video"/>
    <s v="V10-Trimmed"/>
    <n v="1670"/>
    <n v="3"/>
    <x v="3"/>
    <x v="2"/>
    <m/>
    <s v="G2"/>
    <m/>
    <s v="left"/>
  </r>
  <r>
    <m/>
    <x v="0"/>
    <s v="BDI Video"/>
    <s v="V10-Trimmed"/>
    <n v="1690"/>
    <n v="1"/>
    <x v="2"/>
    <x v="1"/>
    <m/>
    <s v="G"/>
    <s v="RG"/>
    <s v="left"/>
  </r>
  <r>
    <m/>
    <x v="0"/>
    <s v="BDI Video"/>
    <s v="V10-Trimmed"/>
    <n v="1690"/>
    <n v="2"/>
    <x v="4"/>
    <x v="2"/>
    <m/>
    <s v="clip"/>
    <m/>
    <s v="right"/>
  </r>
  <r>
    <m/>
    <x v="0"/>
    <s v="BDI Video"/>
    <s v="V10-Trimmed"/>
    <n v="1700"/>
    <n v="1"/>
    <x v="1"/>
    <x v="3"/>
    <m/>
    <s v="G"/>
    <s v="RG"/>
    <s v="left"/>
  </r>
  <r>
    <m/>
    <x v="0"/>
    <s v="BDI Video"/>
    <s v="V10-Trimmed"/>
    <n v="1810"/>
    <n v="1"/>
    <x v="1"/>
    <x v="1"/>
    <m/>
    <s v="G"/>
    <s v="RG"/>
    <s v="left"/>
  </r>
  <r>
    <m/>
    <x v="0"/>
    <s v="BDI Video"/>
    <s v="V10-Trimmed"/>
    <n v="1810"/>
    <n v="2"/>
    <x v="2"/>
    <x v="1"/>
    <m/>
    <s v="Suction"/>
    <s v="suction"/>
    <s v="right"/>
  </r>
  <r>
    <m/>
    <x v="0"/>
    <s v="BDI Video"/>
    <s v="V10-Trimmed"/>
    <n v="1830"/>
    <n v="1"/>
    <x v="3"/>
    <x v="2"/>
    <m/>
    <s v="G"/>
    <m/>
    <s v="left"/>
  </r>
  <r>
    <m/>
    <x v="0"/>
    <s v="BDI Video"/>
    <s v="V10-Trimmed"/>
    <n v="1830"/>
    <n v="2"/>
    <x v="4"/>
    <x v="2"/>
    <m/>
    <s v="none"/>
    <m/>
    <s v="right"/>
  </r>
  <r>
    <m/>
    <x v="0"/>
    <s v="BDI Video"/>
    <s v="V10-Trimmed"/>
    <n v="1830"/>
    <n v="3"/>
    <x v="2"/>
    <x v="1"/>
    <m/>
    <s v="cautery"/>
    <m/>
    <s v="right"/>
  </r>
  <r>
    <m/>
    <x v="0"/>
    <s v="BDI Video"/>
    <s v="V10-Trimmed"/>
    <n v="1980"/>
    <n v="1"/>
    <x v="1"/>
    <x v="3"/>
    <m/>
    <s v="G"/>
    <s v="RG"/>
    <s v="left"/>
  </r>
  <r>
    <m/>
    <x v="0"/>
    <s v="BDI Video"/>
    <s v="V10-Trimmed"/>
    <n v="1980"/>
    <n v="2"/>
    <x v="2"/>
    <x v="1"/>
    <m/>
    <s v="G2"/>
    <s v="other"/>
    <s v="left"/>
  </r>
  <r>
    <m/>
    <x v="0"/>
    <s v="BDI Video"/>
    <s v="V10-Trimmed"/>
    <n v="1980"/>
    <n v="3"/>
    <x v="2"/>
    <x v="1"/>
    <m/>
    <s v="peanut"/>
    <s v="blunt dissection"/>
    <s v="right"/>
  </r>
  <r>
    <m/>
    <x v="0"/>
    <s v="BDI Video"/>
    <s v="V10-Trimmed"/>
    <n v="2020"/>
    <n v="1"/>
    <x v="1"/>
    <x v="1"/>
    <m/>
    <s v="peanut"/>
    <s v="blunt dissection"/>
    <s v="right"/>
  </r>
  <r>
    <m/>
    <x v="0"/>
    <s v="BDI Video"/>
    <s v="V10-Trimmed"/>
    <n v="2020"/>
    <n v="2"/>
    <x v="2"/>
    <x v="1"/>
    <m/>
    <s v="G"/>
    <s v="RG"/>
    <s v="left"/>
  </r>
  <r>
    <m/>
    <x v="0"/>
    <s v="BDI Video"/>
    <s v="V10-Trimmed"/>
    <n v="2130"/>
    <n v="1"/>
    <x v="4"/>
    <x v="2"/>
    <m/>
    <s v="G"/>
    <m/>
    <s v="left"/>
  </r>
  <r>
    <m/>
    <x v="0"/>
    <s v="BDI Video"/>
    <s v="V10-Trimmed"/>
    <n v="2130"/>
    <n v="2"/>
    <x v="2"/>
    <x v="1"/>
    <m/>
    <s v="G2"/>
    <s v="RG"/>
    <s v="left"/>
  </r>
  <r>
    <m/>
    <x v="0"/>
    <s v="BDI Video"/>
    <s v="V10-Trimmed"/>
    <n v="2130"/>
    <n v="3"/>
    <x v="2"/>
    <x v="1"/>
    <m/>
    <s v="dissector"/>
    <s v="other"/>
    <s v="right"/>
  </r>
  <r>
    <m/>
    <x v="0"/>
    <s v="BDI Video"/>
    <s v="V10-Trimmed"/>
    <n v="2140"/>
    <n v="1"/>
    <x v="4"/>
    <x v="2"/>
    <m/>
    <s v="none"/>
    <m/>
    <m/>
  </r>
  <r>
    <m/>
    <x v="0"/>
    <s v="BDI Video"/>
    <s v="V10-Trimmed"/>
    <n v="2140"/>
    <n v="2"/>
    <x v="3"/>
    <x v="2"/>
    <m/>
    <s v="dissector"/>
    <m/>
    <s v="right"/>
  </r>
  <r>
    <m/>
    <x v="0"/>
    <s v="BDI Video"/>
    <s v="V10-Trimmed"/>
    <n v="2140"/>
    <n v="3"/>
    <x v="2"/>
    <x v="1"/>
    <m/>
    <s v="G"/>
    <s v="RG"/>
    <s v="left"/>
  </r>
  <r>
    <m/>
    <x v="0"/>
    <s v="BDI Video"/>
    <s v="V10-Trimmed"/>
    <n v="2140"/>
    <n v="4"/>
    <x v="2"/>
    <x v="3"/>
    <m/>
    <s v="G2"/>
    <s v="other"/>
    <s v="left"/>
  </r>
  <r>
    <m/>
    <x v="0"/>
    <s v="BDI Video"/>
    <s v="V10-Trimmed"/>
    <n v="2170"/>
    <n v="1"/>
    <x v="4"/>
    <x v="2"/>
    <m/>
    <s v="none"/>
    <m/>
    <m/>
  </r>
  <r>
    <m/>
    <x v="0"/>
    <s v="BDI Video"/>
    <s v="V10-Trimmed"/>
    <n v="2170"/>
    <n v="2"/>
    <x v="2"/>
    <x v="1"/>
    <m/>
    <s v="G"/>
    <s v="RG"/>
    <s v="left"/>
  </r>
  <r>
    <m/>
    <x v="0"/>
    <s v="BDI Video"/>
    <s v="V10-Trimmed"/>
    <n v="2170"/>
    <n v="3"/>
    <x v="3"/>
    <x v="2"/>
    <m/>
    <s v="dissector"/>
    <m/>
    <s v="right"/>
  </r>
  <r>
    <m/>
    <x v="0"/>
    <s v="BDI Video"/>
    <s v="V10-Trimmed"/>
    <n v="2280"/>
    <n v="1"/>
    <x v="4"/>
    <x v="2"/>
    <m/>
    <s v="none"/>
    <m/>
    <m/>
  </r>
  <r>
    <m/>
    <x v="0"/>
    <s v="BDI Video"/>
    <s v="V10-Trimmed"/>
    <n v="2280"/>
    <n v="2"/>
    <x v="2"/>
    <x v="1"/>
    <m/>
    <s v="Suction"/>
    <s v="other"/>
    <s v="right"/>
  </r>
  <r>
    <m/>
    <x v="0"/>
    <s v="BDI Video"/>
    <s v="V10-Trimmed"/>
    <n v="2330"/>
    <n v="1"/>
    <x v="1"/>
    <x v="3"/>
    <m/>
    <s v="G"/>
    <s v="RG"/>
    <s v="left"/>
  </r>
  <r>
    <m/>
    <x v="0"/>
    <s v="BDI Video"/>
    <s v="V10-Trimmed"/>
    <n v="2330"/>
    <n v="2"/>
    <x v="2"/>
    <x v="1"/>
    <m/>
    <s v="dissector"/>
    <s v="blunt dissection"/>
    <s v="right"/>
  </r>
  <r>
    <m/>
    <x v="0"/>
    <s v="BDI Video"/>
    <s v="V10-Trimmed"/>
    <n v="2340"/>
    <n v="1"/>
    <x v="1"/>
    <x v="3"/>
    <m/>
    <s v="G"/>
    <s v="RG"/>
    <s v="left"/>
  </r>
  <r>
    <m/>
    <x v="0"/>
    <s v="BDI Video"/>
    <s v="V10-Trimmed"/>
    <n v="2350"/>
    <n v="1"/>
    <x v="1"/>
    <x v="3"/>
    <m/>
    <s v="G"/>
    <s v="RG"/>
    <s v="left"/>
  </r>
  <r>
    <m/>
    <x v="0"/>
    <s v="BDI Video"/>
    <s v="V10-Trimmed"/>
    <n v="2350"/>
    <n v="2"/>
    <x v="4"/>
    <x v="2"/>
    <m/>
    <s v="none"/>
    <m/>
    <m/>
  </r>
  <r>
    <m/>
    <x v="0"/>
    <s v="BDI Video"/>
    <s v="V10-Trimmed"/>
    <n v="2360"/>
    <n v="1"/>
    <x v="1"/>
    <x v="3"/>
    <m/>
    <s v="G"/>
    <s v="RG"/>
    <s v="left"/>
  </r>
  <r>
    <m/>
    <x v="0"/>
    <s v="BDI Video"/>
    <s v="V10-Trimmed"/>
    <n v="2370"/>
    <n v="1"/>
    <x v="4"/>
    <x v="2"/>
    <m/>
    <s v="none"/>
    <m/>
    <m/>
  </r>
  <r>
    <m/>
    <x v="0"/>
    <s v="BDI Video"/>
    <s v="V10-Trimmed"/>
    <n v="2390"/>
    <n v="1"/>
    <x v="1"/>
    <x v="3"/>
    <m/>
    <s v="G"/>
    <s v="RG"/>
    <s v="left"/>
  </r>
  <r>
    <m/>
    <x v="0"/>
    <s v="BDI Video"/>
    <s v="V10-Trimmed"/>
    <n v="2430"/>
    <n v="1"/>
    <x v="1"/>
    <x v="3"/>
    <m/>
    <s v="G"/>
    <s v="RG"/>
    <s v="left"/>
  </r>
  <r>
    <m/>
    <x v="0"/>
    <s v="BDI Video"/>
    <s v="V10-Trimmed"/>
    <n v="2430"/>
    <n v="2"/>
    <x v="2"/>
    <x v="1"/>
    <m/>
    <s v="G2"/>
    <s v="RG"/>
    <s v="left"/>
  </r>
  <r>
    <m/>
    <x v="0"/>
    <s v="BDI Video"/>
    <s v="V10-Trimmed"/>
    <n v="2430"/>
    <n v="3"/>
    <x v="2"/>
    <x v="1"/>
    <m/>
    <s v="peanut"/>
    <s v="blunt dissection"/>
    <s v="right"/>
  </r>
  <r>
    <m/>
    <x v="0"/>
    <s v="BDI Video"/>
    <s v="V10-Trimmed"/>
    <n v="2440"/>
    <n v="1"/>
    <x v="2"/>
    <x v="3"/>
    <m/>
    <s v="G"/>
    <s v="RG"/>
    <s v="left"/>
  </r>
  <r>
    <m/>
    <x v="0"/>
    <s v="BDI Video"/>
    <s v="V10-Trimmed"/>
    <n v="2440"/>
    <n v="2"/>
    <x v="1"/>
    <x v="1"/>
    <m/>
    <s v="G2"/>
    <s v="RG"/>
    <s v="left"/>
  </r>
  <r>
    <m/>
    <x v="0"/>
    <s v="BDI Video"/>
    <s v="V10-Trimmed"/>
    <n v="2440"/>
    <n v="3"/>
    <x v="2"/>
    <x v="1"/>
    <m/>
    <s v="peanut"/>
    <s v="blunt dissection"/>
    <s v="right"/>
  </r>
  <r>
    <m/>
    <x v="0"/>
    <s v="BDI Video"/>
    <s v="V10-Trimmed"/>
    <n v="2470"/>
    <n v="1"/>
    <x v="2"/>
    <x v="1"/>
    <m/>
    <s v="G"/>
    <s v="RG"/>
    <s v="left"/>
  </r>
  <r>
    <m/>
    <x v="0"/>
    <s v="BDI Video"/>
    <s v="V10-Trimmed"/>
    <n v="2470"/>
    <n v="2"/>
    <x v="2"/>
    <x v="1"/>
    <m/>
    <s v="G2"/>
    <s v="RG"/>
    <s v="left"/>
  </r>
  <r>
    <m/>
    <x v="0"/>
    <s v="BDI Video"/>
    <s v="V10-Trimmed"/>
    <n v="2470"/>
    <n v="3"/>
    <x v="2"/>
    <x v="1"/>
    <m/>
    <s v="cautery"/>
    <s v="energy-sharp dissection"/>
    <s v="right"/>
  </r>
  <r>
    <m/>
    <x v="0"/>
    <s v="BDI Video"/>
    <s v="V10-Trimmed"/>
    <n v="2470"/>
    <n v="4"/>
    <x v="4"/>
    <x v="2"/>
    <m/>
    <s v="none"/>
    <m/>
    <m/>
  </r>
  <r>
    <m/>
    <x v="0"/>
    <s v="BDI Video"/>
    <s v="V10-Trimmed"/>
    <n v="2490"/>
    <n v="1"/>
    <x v="2"/>
    <x v="3"/>
    <m/>
    <s v="G"/>
    <s v="RG"/>
    <s v="left"/>
  </r>
  <r>
    <m/>
    <x v="0"/>
    <s v="BDI Video"/>
    <s v="V10-Trimmed"/>
    <n v="2490"/>
    <n v="2"/>
    <x v="4"/>
    <x v="2"/>
    <m/>
    <s v="none"/>
    <m/>
    <m/>
  </r>
  <r>
    <m/>
    <x v="0"/>
    <s v="BDI Video"/>
    <s v="V10-Trimmed"/>
    <n v="2490"/>
    <n v="3"/>
    <x v="2"/>
    <x v="3"/>
    <m/>
    <s v="G2"/>
    <s v="RG"/>
    <s v="left"/>
  </r>
  <r>
    <m/>
    <x v="0"/>
    <s v="BDI Video"/>
    <s v="V10-Trimmed"/>
    <n v="2490"/>
    <n v="4"/>
    <x v="3"/>
    <x v="2"/>
    <m/>
    <s v="cautery"/>
    <m/>
    <s v="right"/>
  </r>
  <r>
    <m/>
    <x v="0"/>
    <s v="BDI Video"/>
    <s v="V10-Trimmed"/>
    <n v="2500"/>
    <n v="1"/>
    <x v="1"/>
    <x v="3"/>
    <m/>
    <s v="G"/>
    <s v="RG"/>
    <s v="left"/>
  </r>
  <r>
    <m/>
    <x v="0"/>
    <s v="BDI Video"/>
    <s v="V10-Trimmed"/>
    <n v="2500"/>
    <n v="2"/>
    <x v="2"/>
    <x v="1"/>
    <m/>
    <s v="G2"/>
    <s v="RG"/>
    <s v="left"/>
  </r>
  <r>
    <m/>
    <x v="0"/>
    <s v="BDI Video"/>
    <s v="V10-Trimmed"/>
    <n v="2500"/>
    <n v="3"/>
    <x v="2"/>
    <x v="1"/>
    <m/>
    <s v="cautery"/>
    <s v="other"/>
    <s v="right"/>
  </r>
  <r>
    <m/>
    <x v="0"/>
    <s v="BDI Video"/>
    <s v="V10-Trimmed"/>
    <n v="2530"/>
    <n v="1"/>
    <x v="1"/>
    <x v="3"/>
    <m/>
    <s v="G"/>
    <s v="RG"/>
    <s v="left"/>
  </r>
  <r>
    <m/>
    <x v="0"/>
    <s v="BDI Video"/>
    <s v="V10-Trimmed"/>
    <n v="2530"/>
    <n v="2"/>
    <x v="2"/>
    <x v="1"/>
    <m/>
    <s v="G2"/>
    <s v="RG"/>
    <s v="left"/>
  </r>
  <r>
    <m/>
    <x v="0"/>
    <s v="BDI Video"/>
    <s v="V10-Trimmed"/>
    <n v="2530"/>
    <n v="3"/>
    <x v="1"/>
    <x v="1"/>
    <m/>
    <s v="peanut"/>
    <s v="blunt dissection"/>
    <s v="right"/>
  </r>
  <r>
    <m/>
    <x v="0"/>
    <s v="BDI Video"/>
    <s v="V10-Trimmed"/>
    <n v="2540"/>
    <n v="1"/>
    <x v="1"/>
    <x v="3"/>
    <m/>
    <s v="G"/>
    <s v="RG"/>
    <s v="left"/>
  </r>
  <r>
    <m/>
    <x v="0"/>
    <s v="BDI Video"/>
    <s v="V10-Trimmed"/>
    <n v="2540"/>
    <n v="2"/>
    <x v="2"/>
    <x v="1"/>
    <m/>
    <s v="G2"/>
    <s v="RG"/>
    <s v="left"/>
  </r>
  <r>
    <m/>
    <x v="0"/>
    <s v="BDI Video"/>
    <s v="V10-Trimmed"/>
    <n v="2540"/>
    <n v="3"/>
    <x v="2"/>
    <x v="1"/>
    <m/>
    <s v="peanut"/>
    <s v="blunt dissection"/>
    <s v="right"/>
  </r>
  <r>
    <m/>
    <x v="0"/>
    <s v="BDI Video"/>
    <s v="V10-Trimmed"/>
    <n v="2560"/>
    <n v="1"/>
    <x v="1"/>
    <x v="1"/>
    <m/>
    <s v="G"/>
    <s v="RG"/>
    <s v="left"/>
  </r>
  <r>
    <m/>
    <x v="0"/>
    <s v="BDI Video"/>
    <s v="V10-Trimmed"/>
    <n v="2560"/>
    <n v="2"/>
    <x v="2"/>
    <x v="3"/>
    <m/>
    <s v="G2"/>
    <s v="RG"/>
    <s v="left"/>
  </r>
  <r>
    <m/>
    <x v="0"/>
    <s v="BDI Video"/>
    <s v="V10-Trimmed"/>
    <n v="2560"/>
    <n v="3"/>
    <x v="3"/>
    <x v="2"/>
    <m/>
    <s v="Suction"/>
    <m/>
    <s v="right"/>
  </r>
  <r>
    <m/>
    <x v="0"/>
    <s v="BDI Video"/>
    <s v="V10-Trimmed"/>
    <n v="2590"/>
    <n v="1"/>
    <x v="1"/>
    <x v="3"/>
    <m/>
    <s v="G"/>
    <s v="RG"/>
    <s v="left"/>
  </r>
  <r>
    <m/>
    <x v="0"/>
    <s v="BDI Video"/>
    <s v="V10-Trimmed"/>
    <n v="2590"/>
    <n v="2"/>
    <x v="2"/>
    <x v="1"/>
    <m/>
    <s v="G2"/>
    <s v="RG"/>
    <s v="left"/>
  </r>
  <r>
    <m/>
    <x v="0"/>
    <s v="BDI Video"/>
    <s v="V10-Trimmed"/>
    <n v="2600"/>
    <n v="1"/>
    <x v="1"/>
    <x v="3"/>
    <m/>
    <s v="G"/>
    <s v="RG"/>
    <s v="left"/>
  </r>
  <r>
    <m/>
    <x v="0"/>
    <s v="BDI Video"/>
    <s v="V10-Trimmed"/>
    <n v="2600"/>
    <n v="2"/>
    <x v="2"/>
    <x v="1"/>
    <m/>
    <s v="G2"/>
    <s v="RG"/>
    <s v="left"/>
  </r>
  <r>
    <m/>
    <x v="0"/>
    <s v="BDI Video"/>
    <s v="V10-Trimmed"/>
    <n v="2620"/>
    <n v="1"/>
    <x v="2"/>
    <x v="3"/>
    <m/>
    <s v="G"/>
    <s v="RG"/>
    <s v="left"/>
  </r>
  <r>
    <m/>
    <x v="0"/>
    <s v="BDI Video"/>
    <s v="V10-Trimmed"/>
    <n v="2620"/>
    <n v="2"/>
    <x v="1"/>
    <x v="1"/>
    <m/>
    <s v="G2"/>
    <s v="RG"/>
    <s v="left"/>
  </r>
  <r>
    <m/>
    <x v="0"/>
    <s v="BDI Video"/>
    <s v="V10-Trimmed"/>
    <n v="2620"/>
    <n v="3"/>
    <x v="2"/>
    <x v="1"/>
    <m/>
    <s v="dissector"/>
    <s v="blunt dissection"/>
    <s v="right"/>
  </r>
  <r>
    <m/>
    <x v="0"/>
    <s v="BDI Video"/>
    <s v="V10-Trimmed"/>
    <n v="2630"/>
    <n v="1"/>
    <x v="1"/>
    <x v="3"/>
    <m/>
    <s v="G"/>
    <s v="RG"/>
    <s v="left"/>
  </r>
  <r>
    <m/>
    <x v="0"/>
    <s v="BDI Video"/>
    <s v="V10-Trimmed"/>
    <n v="2630"/>
    <n v="2"/>
    <x v="2"/>
    <x v="1"/>
    <m/>
    <s v="G2"/>
    <s v="RG"/>
    <s v="left"/>
  </r>
  <r>
    <m/>
    <x v="0"/>
    <s v="BDI Video"/>
    <s v="V10-Trimmed"/>
    <n v="2630"/>
    <n v="3"/>
    <x v="3"/>
    <x v="2"/>
    <m/>
    <s v="Suction"/>
    <m/>
    <s v="right"/>
  </r>
  <r>
    <m/>
    <x v="0"/>
    <s v="BDI Video"/>
    <s v="V10-Trimmed"/>
    <n v="2640"/>
    <n v="1"/>
    <x v="1"/>
    <x v="3"/>
    <m/>
    <s v="G"/>
    <s v="RG"/>
    <s v="left"/>
  </r>
  <r>
    <m/>
    <x v="0"/>
    <s v="BDI Video"/>
    <s v="V10-Trimmed"/>
    <n v="2640"/>
    <n v="2"/>
    <x v="2"/>
    <x v="1"/>
    <m/>
    <s v="G2"/>
    <s v="RG"/>
    <s v="left"/>
  </r>
  <r>
    <m/>
    <x v="0"/>
    <s v="BDI Video"/>
    <s v="V10-Trimmed"/>
    <n v="2640"/>
    <n v="3"/>
    <x v="3"/>
    <x v="2"/>
    <m/>
    <s v="Suction"/>
    <m/>
    <s v="right"/>
  </r>
  <r>
    <m/>
    <x v="0"/>
    <s v="BDI Video"/>
    <s v="V10-Trimmed"/>
    <n v="2650"/>
    <n v="1"/>
    <x v="1"/>
    <x v="3"/>
    <m/>
    <s v="G"/>
    <s v="RG"/>
    <s v="left"/>
  </r>
  <r>
    <m/>
    <x v="0"/>
    <s v="BDI Video"/>
    <s v="V10-Trimmed"/>
    <n v="2650"/>
    <n v="2"/>
    <x v="1"/>
    <x v="1"/>
    <m/>
    <s v="G2"/>
    <s v="RG"/>
    <s v="left"/>
  </r>
  <r>
    <m/>
    <x v="0"/>
    <s v="BDI Video"/>
    <s v="V10-Trimmed"/>
    <n v="2650"/>
    <n v="3"/>
    <x v="3"/>
    <x v="2"/>
    <m/>
    <s v="cautery"/>
    <m/>
    <s v="right"/>
  </r>
  <r>
    <m/>
    <x v="0"/>
    <s v="BDI Video"/>
    <s v="V10-Trimmed"/>
    <n v="2700"/>
    <n v="1"/>
    <x v="1"/>
    <x v="3"/>
    <m/>
    <s v="G"/>
    <s v="RG"/>
    <s v="left"/>
  </r>
  <r>
    <m/>
    <x v="0"/>
    <s v="BDI Video"/>
    <s v="V10-Trimmed"/>
    <n v="2700"/>
    <n v="2"/>
    <x v="2"/>
    <x v="1"/>
    <m/>
    <s v="G2"/>
    <s v="RG"/>
    <s v="left"/>
  </r>
  <r>
    <m/>
    <x v="0"/>
    <s v="BDI Video"/>
    <s v="V10-Trimmed"/>
    <n v="2730"/>
    <n v="1"/>
    <x v="1"/>
    <x v="3"/>
    <m/>
    <s v="G"/>
    <s v="RG"/>
    <s v="left"/>
  </r>
  <r>
    <m/>
    <x v="0"/>
    <s v="BDI Video"/>
    <s v="V10-Trimmed"/>
    <n v="2750"/>
    <n v="1"/>
    <x v="1"/>
    <x v="3"/>
    <m/>
    <s v="G"/>
    <s v="RG"/>
    <s v="left"/>
  </r>
  <r>
    <m/>
    <x v="0"/>
    <s v="BDI Video"/>
    <s v="V10-Trimmed"/>
    <n v="2810"/>
    <n v="1"/>
    <x v="1"/>
    <x v="3"/>
    <m/>
    <s v="G"/>
    <s v="RG"/>
    <s v="left"/>
  </r>
  <r>
    <m/>
    <x v="0"/>
    <s v="BDI Video"/>
    <s v="V10-Trimmed"/>
    <n v="2830"/>
    <n v="1"/>
    <x v="1"/>
    <x v="3"/>
    <m/>
    <s v="G"/>
    <s v="RG"/>
    <s v="left"/>
  </r>
  <r>
    <m/>
    <x v="0"/>
    <s v="BDI Video"/>
    <s v="V10-Trimmed"/>
    <n v="2830"/>
    <n v="2"/>
    <x v="2"/>
    <x v="3"/>
    <m/>
    <s v="G2"/>
    <s v="other"/>
    <s v="left"/>
  </r>
  <r>
    <m/>
    <x v="0"/>
    <s v="BDI Video"/>
    <s v="V10-Trimmed"/>
    <n v="2830"/>
    <n v="3"/>
    <x v="3"/>
    <x v="2"/>
    <m/>
    <s v="clip"/>
    <m/>
    <s v="right"/>
  </r>
  <r>
    <m/>
    <x v="0"/>
    <s v="BDI Video"/>
    <s v="V10-Trimmed"/>
    <n v="2850"/>
    <n v="1"/>
    <x v="1"/>
    <x v="3"/>
    <m/>
    <s v="G"/>
    <s v="RG"/>
    <s v="left"/>
  </r>
  <r>
    <m/>
    <x v="0"/>
    <s v="BDI Video"/>
    <s v="V10-Trimmed"/>
    <n v="2850"/>
    <n v="2"/>
    <x v="1"/>
    <x v="1"/>
    <m/>
    <s v="G2"/>
    <s v="RG"/>
    <s v="left"/>
  </r>
  <r>
    <m/>
    <x v="0"/>
    <s v="BDI Video"/>
    <s v="V10-Trimmed"/>
    <n v="2850"/>
    <n v="3"/>
    <x v="3"/>
    <x v="2"/>
    <m/>
    <s v="clip"/>
    <m/>
    <s v="right"/>
  </r>
  <r>
    <m/>
    <x v="0"/>
    <s v="BDI Video"/>
    <s v="V10-Trimmed"/>
    <n v="10"/>
    <n v="1"/>
    <x v="1"/>
    <x v="3"/>
    <m/>
    <s v="G"/>
    <s v="RG"/>
    <s v="left"/>
  </r>
  <r>
    <m/>
    <x v="0"/>
    <s v="BDI Video"/>
    <s v="V10-Trimmed"/>
    <n v="10"/>
    <n v="2"/>
    <x v="2"/>
    <x v="1"/>
    <m/>
    <s v="cautery"/>
    <s v="energy-sharp dissection"/>
    <s v="right"/>
  </r>
  <r>
    <m/>
    <x v="0"/>
    <s v="BDI Video"/>
    <s v="V10-Trimmed"/>
    <n v="20"/>
    <n v="1"/>
    <x v="1"/>
    <x v="3"/>
    <m/>
    <s v="G"/>
    <s v="RG"/>
    <s v="left"/>
  </r>
  <r>
    <m/>
    <x v="0"/>
    <s v="BDI Video"/>
    <s v="V10-Trimmed"/>
    <n v="20"/>
    <n v="2"/>
    <x v="3"/>
    <x v="2"/>
    <m/>
    <s v="cautery"/>
    <m/>
    <s v="right"/>
  </r>
  <r>
    <m/>
    <x v="0"/>
    <s v="BDI Video"/>
    <s v="V10-Trimmed"/>
    <n v="30"/>
    <n v="1"/>
    <x v="1"/>
    <x v="3"/>
    <m/>
    <s v="G"/>
    <s v="RG"/>
    <s v="left"/>
  </r>
  <r>
    <m/>
    <x v="0"/>
    <s v="BDI Video"/>
    <s v="V10-Trimmed"/>
    <n v="30"/>
    <n v="2"/>
    <x v="1"/>
    <x v="3"/>
    <m/>
    <s v="cautery"/>
    <s v="energy-sharp dissection"/>
    <s v="right"/>
  </r>
  <r>
    <m/>
    <x v="0"/>
    <s v="BDI Video"/>
    <s v="V10-Trimmed"/>
    <n v="60"/>
    <n v="1"/>
    <x v="1"/>
    <x v="3"/>
    <m/>
    <s v="G"/>
    <s v="RG"/>
    <s v="left"/>
  </r>
  <r>
    <m/>
    <x v="0"/>
    <s v="BDI Video"/>
    <s v="V10-Trimmed"/>
    <n v="60"/>
    <n v="2"/>
    <x v="1"/>
    <x v="1"/>
    <m/>
    <s v="peanut"/>
    <s v="blunt dissection"/>
    <s v="right"/>
  </r>
  <r>
    <m/>
    <x v="0"/>
    <s v="BDI Video"/>
    <s v="V10-Trimmed"/>
    <n v="80"/>
    <n v="1"/>
    <x v="1"/>
    <x v="1"/>
    <m/>
    <s v="peanut"/>
    <s v="blunt dissection"/>
    <s v="right"/>
  </r>
  <r>
    <m/>
    <x v="0"/>
    <s v="BDI Video"/>
    <s v="V10-Trimmed"/>
    <n v="110"/>
    <n v="1"/>
    <x v="1"/>
    <x v="3"/>
    <m/>
    <s v="G"/>
    <s v="RG"/>
    <s v="left"/>
  </r>
  <r>
    <m/>
    <x v="0"/>
    <s v="BDI Video"/>
    <s v="V10-Trimmed"/>
    <n v="110"/>
    <n v="2"/>
    <x v="1"/>
    <x v="1"/>
    <m/>
    <s v="peanut"/>
    <s v="blunt dissection"/>
    <s v="right"/>
  </r>
  <r>
    <m/>
    <x v="0"/>
    <s v="BDI Video"/>
    <s v="V10-Trimmed"/>
    <n v="120"/>
    <n v="1"/>
    <x v="1"/>
    <x v="3"/>
    <m/>
    <s v="G"/>
    <s v="RG"/>
    <s v="left"/>
  </r>
  <r>
    <m/>
    <x v="0"/>
    <s v="BDI Video"/>
    <s v="V10-Trimmed"/>
    <n v="120"/>
    <n v="2"/>
    <x v="1"/>
    <x v="1"/>
    <m/>
    <s v="peanut"/>
    <s v="blunt dissection"/>
    <s v="right"/>
  </r>
  <r>
    <m/>
    <x v="0"/>
    <s v="BDI Video"/>
    <s v="V10-Trimmed"/>
    <n v="130"/>
    <n v="1"/>
    <x v="2"/>
    <x v="3"/>
    <m/>
    <s v="G"/>
    <s v="RG"/>
    <s v="left"/>
  </r>
  <r>
    <m/>
    <x v="0"/>
    <s v="BDI Video"/>
    <s v="V12-Trimmed"/>
    <n v="130"/>
    <n v="2"/>
    <x v="1"/>
    <x v="1"/>
    <m/>
    <s v="peanut"/>
    <s v="blunt dissection"/>
    <s v="right"/>
  </r>
  <r>
    <m/>
    <x v="0"/>
    <s v="BDI Video"/>
    <s v="V12-Trimmed"/>
    <n v="140"/>
    <n v="1"/>
    <x v="1"/>
    <x v="1"/>
    <m/>
    <s v="peanut"/>
    <s v="blunt dissection"/>
    <s v="right"/>
  </r>
  <r>
    <m/>
    <x v="0"/>
    <s v="BDI Video"/>
    <s v="V12-Trimmed"/>
    <n v="160"/>
    <n v="1"/>
    <x v="1"/>
    <x v="3"/>
    <m/>
    <s v="peanut"/>
    <s v="other"/>
    <s v="right"/>
  </r>
  <r>
    <m/>
    <x v="0"/>
    <s v="BDI Video"/>
    <s v="V12-Trimmed"/>
    <n v="160"/>
    <n v="2"/>
    <x v="2"/>
    <x v="3"/>
    <m/>
    <s v="G"/>
    <s v="other"/>
    <s v="left"/>
  </r>
  <r>
    <m/>
    <x v="0"/>
    <s v="BDI Video"/>
    <s v="V12-Trimmed"/>
    <n v="200"/>
    <n v="1"/>
    <x v="4"/>
    <x v="2"/>
    <m/>
    <s v="none"/>
    <m/>
    <m/>
  </r>
  <r>
    <m/>
    <x v="0"/>
    <s v="BDI Video"/>
    <s v="V12-Trimmed"/>
    <n v="200"/>
    <n v="2"/>
    <x v="2"/>
    <x v="1"/>
    <m/>
    <s v="peanut"/>
    <s v="blunt dissection"/>
    <s v="right"/>
  </r>
  <r>
    <m/>
    <x v="0"/>
    <s v="BDI Video"/>
    <s v="V12-Trimmed"/>
    <n v="330"/>
    <n v="1"/>
    <x v="1"/>
    <x v="1"/>
    <m/>
    <s v="peanut"/>
    <s v="blunt dissection"/>
    <s v="right"/>
  </r>
  <r>
    <m/>
    <x v="0"/>
    <s v="BDI Video"/>
    <s v="V12-Trimmed"/>
    <n v="370"/>
    <n v="1"/>
    <x v="1"/>
    <x v="1"/>
    <m/>
    <s v="peanut"/>
    <s v="blunt dissection"/>
    <s v="right"/>
  </r>
  <r>
    <m/>
    <x v="0"/>
    <s v="BDI Video"/>
    <s v="V12-Trimmed"/>
    <n v="380"/>
    <n v="1"/>
    <x v="4"/>
    <x v="2"/>
    <m/>
    <s v="none"/>
    <m/>
    <m/>
  </r>
  <r>
    <m/>
    <x v="0"/>
    <s v="BDI Video"/>
    <s v="V12-Trimmed"/>
    <n v="380"/>
    <n v="2"/>
    <x v="3"/>
    <x v="2"/>
    <m/>
    <s v="peanut"/>
    <m/>
    <s v="right"/>
  </r>
  <r>
    <m/>
    <x v="0"/>
    <s v="BDI Video"/>
    <s v="V12-Trimmed"/>
    <n v="390"/>
    <n v="1"/>
    <x v="4"/>
    <x v="2"/>
    <m/>
    <s v="none"/>
    <m/>
    <m/>
  </r>
  <r>
    <m/>
    <x v="0"/>
    <s v="BDI Video"/>
    <s v="V12-Trimmed"/>
    <n v="390"/>
    <n v="2"/>
    <x v="2"/>
    <x v="1"/>
    <m/>
    <s v="peanut"/>
    <s v="blunt dissection"/>
    <s v="right"/>
  </r>
  <r>
    <m/>
    <x v="0"/>
    <s v="BDI Video"/>
    <s v="V12-Trimmed"/>
    <n v="460"/>
    <n v="1"/>
    <x v="1"/>
    <x v="1"/>
    <m/>
    <s v="dissector"/>
    <s v="other"/>
    <s v="right"/>
  </r>
  <r>
    <m/>
    <x v="0"/>
    <s v="BDI Video"/>
    <s v="V12-Trimmed"/>
    <n v="530"/>
    <n v="1"/>
    <x v="4"/>
    <x v="2"/>
    <m/>
    <s v="dissector"/>
    <m/>
    <s v="left"/>
  </r>
  <r>
    <m/>
    <x v="0"/>
    <s v="BDI Video"/>
    <s v="V12-Trimmed"/>
    <n v="550"/>
    <n v="1"/>
    <x v="1"/>
    <x v="1"/>
    <m/>
    <s v="dissector"/>
    <s v="blunt dissection"/>
    <s v="right"/>
  </r>
  <r>
    <m/>
    <x v="0"/>
    <s v="BDI Video"/>
    <s v="V12-Trimmed"/>
    <n v="580"/>
    <n v="1"/>
    <x v="1"/>
    <x v="1"/>
    <m/>
    <s v="peanut"/>
    <s v="blunt dissection"/>
    <s v="right "/>
  </r>
  <r>
    <m/>
    <x v="0"/>
    <s v="BDI Video"/>
    <s v="V12-Trimmed"/>
    <n v="590"/>
    <n v="1"/>
    <x v="1"/>
    <x v="1"/>
    <m/>
    <s v="peanut"/>
    <s v="blunt dissection"/>
    <s v="right "/>
  </r>
  <r>
    <m/>
    <x v="0"/>
    <s v="BDI Video"/>
    <s v="V12-Trimmed"/>
    <n v="610"/>
    <n v="1"/>
    <x v="1"/>
    <x v="1"/>
    <m/>
    <s v="peanut"/>
    <s v="blunt dissection"/>
    <s v="right "/>
  </r>
  <r>
    <m/>
    <x v="0"/>
    <s v="BDI Video"/>
    <s v="V12-Trimmed"/>
    <n v="630"/>
    <n v="1"/>
    <x v="1"/>
    <x v="1"/>
    <m/>
    <s v="peanut"/>
    <s v="blunt dissection"/>
    <s v="right "/>
  </r>
  <r>
    <m/>
    <x v="0"/>
    <s v="BDI Video"/>
    <s v="V12-Trimmed"/>
    <n v="640"/>
    <n v="1"/>
    <x v="1"/>
    <x v="1"/>
    <m/>
    <s v="peanut"/>
    <s v="blunt dissection"/>
    <s v="right "/>
  </r>
  <r>
    <m/>
    <x v="0"/>
    <s v="BDI Video"/>
    <s v="V12-Trimmed"/>
    <n v="660"/>
    <n v="1"/>
    <x v="1"/>
    <x v="1"/>
    <m/>
    <s v="peanut"/>
    <s v="blunt dissection"/>
    <s v="right "/>
  </r>
  <r>
    <m/>
    <x v="0"/>
    <s v="BDI Video"/>
    <s v="V12-Trimmed"/>
    <n v="710"/>
    <n v="1"/>
    <x v="1"/>
    <x v="1"/>
    <m/>
    <s v="dissector"/>
    <s v="other"/>
    <s v="right "/>
  </r>
  <r>
    <m/>
    <x v="0"/>
    <s v="BDI Video"/>
    <s v="V12-Trimmed"/>
    <n v="730"/>
    <n v="1"/>
    <x v="4"/>
    <x v="2"/>
    <m/>
    <s v="none"/>
    <m/>
    <m/>
  </r>
  <r>
    <m/>
    <x v="0"/>
    <s v="BDI Video"/>
    <s v="V12-Trimmed"/>
    <n v="730"/>
    <n v="2"/>
    <x v="2"/>
    <x v="1"/>
    <m/>
    <s v="dissector"/>
    <s v="blunt dissection"/>
    <s v="right "/>
  </r>
  <r>
    <m/>
    <x v="0"/>
    <s v="BDI Video"/>
    <s v="V12-Trimmed"/>
    <n v="870"/>
    <n v="1"/>
    <x v="1"/>
    <x v="1"/>
    <s v="TBRHS"/>
    <m/>
    <s v="other"/>
    <s v="right "/>
  </r>
  <r>
    <m/>
    <x v="0"/>
    <s v="BDI Video"/>
    <s v="V14-Trimmed"/>
    <n v="0"/>
    <n v="1"/>
    <x v="0"/>
    <x v="0"/>
    <s v="not a target"/>
    <m/>
    <m/>
    <m/>
  </r>
  <r>
    <m/>
    <x v="0"/>
    <s v="BDI Video"/>
    <s v="V14-Trimmed"/>
    <n v="10"/>
    <n v="1"/>
    <x v="0"/>
    <x v="4"/>
    <m/>
    <m/>
    <m/>
    <m/>
  </r>
  <r>
    <m/>
    <x v="0"/>
    <s v="BDI Video"/>
    <s v="V14-Trimmed"/>
    <n v="30"/>
    <n v="1"/>
    <x v="0"/>
    <x v="4"/>
    <m/>
    <m/>
    <m/>
    <m/>
  </r>
  <r>
    <m/>
    <x v="0"/>
    <s v="BDI Video"/>
    <s v="V14-Trimmed"/>
    <n v="60"/>
    <n v="1"/>
    <x v="0"/>
    <x v="4"/>
    <m/>
    <m/>
    <m/>
    <m/>
  </r>
  <r>
    <m/>
    <x v="0"/>
    <s v="BDI Video"/>
    <s v="V14-Trimmed"/>
    <n v="70"/>
    <n v="1"/>
    <x v="0"/>
    <x v="4"/>
    <m/>
    <m/>
    <m/>
    <m/>
  </r>
  <r>
    <m/>
    <x v="0"/>
    <s v="BDI Video"/>
    <s v="V14-Trimmed"/>
    <n v="80"/>
    <n v="1"/>
    <x v="0"/>
    <x v="4"/>
    <m/>
    <m/>
    <m/>
    <m/>
  </r>
  <r>
    <m/>
    <x v="0"/>
    <s v="BDI Video"/>
    <s v="V14-Trimmed"/>
    <n v="90"/>
    <n v="1"/>
    <x v="0"/>
    <x v="4"/>
    <m/>
    <m/>
    <m/>
    <m/>
  </r>
  <r>
    <m/>
    <x v="0"/>
    <s v="BDI Video"/>
    <s v="V14-Trimmed"/>
    <n v="120"/>
    <n v="1"/>
    <x v="0"/>
    <x v="4"/>
    <m/>
    <m/>
    <m/>
    <m/>
  </r>
  <r>
    <m/>
    <x v="0"/>
    <s v="BDI Video"/>
    <s v="V14-Trimmed"/>
    <n v="140"/>
    <n v="1"/>
    <x v="0"/>
    <x v="4"/>
    <m/>
    <m/>
    <m/>
    <m/>
  </r>
  <r>
    <m/>
    <x v="0"/>
    <s v="BDI Video"/>
    <s v="V14-Trimmed"/>
    <n v="150"/>
    <n v="1"/>
    <x v="0"/>
    <x v="4"/>
    <m/>
    <m/>
    <m/>
    <m/>
  </r>
  <r>
    <m/>
    <x v="0"/>
    <s v="BDI Video"/>
    <s v="V15-Trimmed"/>
    <n v="0"/>
    <n v="1"/>
    <x v="0"/>
    <x v="4"/>
    <m/>
    <m/>
    <m/>
    <m/>
  </r>
  <r>
    <m/>
    <x v="0"/>
    <s v="BDI Video"/>
    <s v="V15-Trimmed"/>
    <n v="10"/>
    <n v="1"/>
    <x v="0"/>
    <x v="4"/>
    <m/>
    <m/>
    <m/>
    <m/>
  </r>
  <r>
    <m/>
    <x v="0"/>
    <s v="BDI Video"/>
    <s v="V15-Trimmed"/>
    <n v="20"/>
    <n v="1"/>
    <x v="0"/>
    <x v="4"/>
    <m/>
    <m/>
    <m/>
    <m/>
  </r>
  <r>
    <m/>
    <x v="0"/>
    <s v="BDI Video"/>
    <s v="V15-Trimmed"/>
    <n v="50"/>
    <n v="1"/>
    <x v="0"/>
    <x v="4"/>
    <m/>
    <m/>
    <m/>
    <m/>
  </r>
  <r>
    <m/>
    <x v="0"/>
    <s v="BDI Video"/>
    <s v="V15-Trimmed"/>
    <n v="70"/>
    <n v="1"/>
    <x v="0"/>
    <x v="4"/>
    <m/>
    <m/>
    <m/>
    <m/>
  </r>
  <r>
    <m/>
    <x v="0"/>
    <s v="BDI Video"/>
    <s v="V15-Trimmed"/>
    <n v="100"/>
    <n v="1"/>
    <x v="0"/>
    <x v="4"/>
    <m/>
    <m/>
    <m/>
    <m/>
  </r>
  <r>
    <m/>
    <x v="0"/>
    <s v="BDI Video"/>
    <s v="V17-Trimmed"/>
    <n v="0"/>
    <n v="1"/>
    <x v="0"/>
    <x v="4"/>
    <m/>
    <m/>
    <m/>
    <m/>
  </r>
  <r>
    <m/>
    <x v="0"/>
    <s v="BDI Video"/>
    <s v="V17-Trimmed"/>
    <n v="40"/>
    <n v="1"/>
    <x v="0"/>
    <x v="4"/>
    <m/>
    <m/>
    <m/>
    <m/>
  </r>
  <r>
    <m/>
    <x v="0"/>
    <s v="BDI Video"/>
    <s v="V18-Trimmed"/>
    <n v="0"/>
    <n v="1"/>
    <x v="0"/>
    <x v="4"/>
    <m/>
    <m/>
    <m/>
    <m/>
  </r>
  <r>
    <m/>
    <x v="0"/>
    <s v="BDI Video"/>
    <s v="V18-Trimmed"/>
    <n v="10"/>
    <n v="1"/>
    <x v="0"/>
    <x v="4"/>
    <m/>
    <m/>
    <m/>
    <m/>
  </r>
  <r>
    <m/>
    <x v="0"/>
    <s v="BDI Video"/>
    <s v="V18-Trimmed"/>
    <n v="40"/>
    <n v="1"/>
    <x v="0"/>
    <x v="4"/>
    <m/>
    <m/>
    <m/>
    <m/>
  </r>
  <r>
    <m/>
    <x v="0"/>
    <s v="BDI Video"/>
    <s v="V18-Trimmed"/>
    <n v="60"/>
    <n v="1"/>
    <x v="0"/>
    <x v="4"/>
    <m/>
    <m/>
    <m/>
    <m/>
  </r>
  <r>
    <m/>
    <x v="0"/>
    <s v="BDI Video"/>
    <s v="V18-Trimmed"/>
    <n v="80"/>
    <n v="1"/>
    <x v="0"/>
    <x v="4"/>
    <m/>
    <m/>
    <m/>
    <m/>
  </r>
  <r>
    <m/>
    <x v="0"/>
    <s v="BDI Video"/>
    <s v="V18-Trimmed"/>
    <n v="100"/>
    <n v="1"/>
    <x v="0"/>
    <x v="4"/>
    <m/>
    <m/>
    <m/>
    <m/>
  </r>
  <r>
    <m/>
    <x v="0"/>
    <s v="BDI Video"/>
    <s v="V18-Trimmed"/>
    <n v="120"/>
    <n v="1"/>
    <x v="0"/>
    <x v="0"/>
    <s v="not a target"/>
    <m/>
    <m/>
    <m/>
  </r>
  <r>
    <m/>
    <x v="1"/>
    <s v="Control 1 "/>
    <s v="LapChol Case 0001 03"/>
    <n v="0"/>
    <n v="1"/>
    <x v="1"/>
    <x v="3"/>
    <m/>
    <s v="G"/>
    <s v="RG"/>
    <s v="left"/>
  </r>
  <r>
    <m/>
    <x v="1"/>
    <s v="Control 1 "/>
    <m/>
    <n v="0"/>
    <n v="2"/>
    <x v="2"/>
    <x v="1"/>
    <m/>
    <s v="Scissor"/>
    <s v="Cut-Sharp dissection"/>
    <s v="right"/>
  </r>
  <r>
    <m/>
    <x v="1"/>
    <s v="Control 1"/>
    <s v="LapChol Case 0001 03"/>
    <n v="10"/>
    <n v="1"/>
    <x v="1"/>
    <x v="3"/>
    <m/>
    <s v="G"/>
    <s v="RG"/>
    <s v="left"/>
  </r>
  <r>
    <m/>
    <x v="1"/>
    <s v="Control 1"/>
    <m/>
    <n v="10"/>
    <n v="2"/>
    <x v="3"/>
    <x v="2"/>
    <m/>
    <s v="Scissor"/>
    <m/>
    <s v="right"/>
  </r>
  <r>
    <m/>
    <x v="1"/>
    <s v="Control 1"/>
    <s v="LapChol Case 0001 03"/>
    <n v="30"/>
    <n v="1"/>
    <x v="2"/>
    <x v="3"/>
    <m/>
    <s v="G"/>
    <s v="RG"/>
    <s v="left"/>
  </r>
  <r>
    <m/>
    <x v="1"/>
    <s v="Control 1"/>
    <m/>
    <n v="30"/>
    <n v="2"/>
    <x v="1"/>
    <x v="3"/>
    <m/>
    <s v="Scissor"/>
    <s v="Cut-Sharp dissection"/>
    <s v="right"/>
  </r>
  <r>
    <m/>
    <x v="1"/>
    <s v="Control 1"/>
    <s v="LapChol Case 0001 03"/>
    <n v="40"/>
    <n v="1"/>
    <x v="1"/>
    <x v="3"/>
    <m/>
    <s v="G"/>
    <s v="RG"/>
    <s v="left"/>
  </r>
  <r>
    <m/>
    <x v="1"/>
    <s v="Control 1"/>
    <s v="LapChol Case 0001 03"/>
    <n v="70"/>
    <n v="1"/>
    <x v="1"/>
    <x v="3"/>
    <m/>
    <s v="harmonic"/>
    <s v="other"/>
    <s v="left"/>
  </r>
  <r>
    <m/>
    <x v="1"/>
    <s v="Control 1"/>
    <s v="LapChol Case 0001 03"/>
    <n v="80"/>
    <n v="1"/>
    <x v="1"/>
    <x v="3"/>
    <m/>
    <s v="G"/>
    <s v="RG"/>
    <s v="left"/>
  </r>
  <r>
    <m/>
    <x v="1"/>
    <s v="Control 1"/>
    <s v="LapChol Case 0001 03"/>
    <n v="110"/>
    <n v="1"/>
    <x v="2"/>
    <x v="3"/>
    <m/>
    <s v="G"/>
    <s v="RG"/>
    <s v="left"/>
  </r>
  <r>
    <m/>
    <x v="1"/>
    <s v="Control 1"/>
    <m/>
    <n v="110"/>
    <n v="2"/>
    <x v="1"/>
    <x v="3"/>
    <m/>
    <s v="dissector"/>
    <s v="blunt dissection"/>
    <s v="left"/>
  </r>
  <r>
    <m/>
    <x v="1"/>
    <s v="Control 1"/>
    <s v="LapChol Case 0001 03"/>
    <n v="140"/>
    <n v="1"/>
    <x v="1"/>
    <x v="3"/>
    <m/>
    <s v="harmonic"/>
    <s v="energy-sharp dissection"/>
    <s v="right"/>
  </r>
  <r>
    <m/>
    <x v="1"/>
    <s v="Control 1"/>
    <s v="LapChol Case 0001 03"/>
    <n v="190"/>
    <n v="1"/>
    <x v="2"/>
    <x v="3"/>
    <m/>
    <s v="G"/>
    <s v="RG"/>
    <s v="left"/>
  </r>
  <r>
    <m/>
    <x v="1"/>
    <s v="Control 1"/>
    <m/>
    <n v="190"/>
    <n v="1"/>
    <x v="1"/>
    <x v="3"/>
    <m/>
    <s v="dissector"/>
    <s v="other"/>
    <s v="right "/>
  </r>
  <r>
    <m/>
    <x v="1"/>
    <s v="Control 1"/>
    <s v="LapChol Case 0001 03"/>
    <n v="200"/>
    <n v="1"/>
    <x v="2"/>
    <x v="3"/>
    <m/>
    <s v="G"/>
    <s v="RG"/>
    <s v="left"/>
  </r>
  <r>
    <m/>
    <x v="1"/>
    <s v="Control 1"/>
    <m/>
    <n v="200"/>
    <n v="2"/>
    <x v="1"/>
    <x v="3"/>
    <m/>
    <s v="dissector"/>
    <s v="blunt dissection"/>
    <s v="right"/>
  </r>
  <r>
    <m/>
    <x v="1"/>
    <s v="Control 1"/>
    <s v="LapChol Case 0001 03"/>
    <n v="210"/>
    <n v="1"/>
    <x v="1"/>
    <x v="3"/>
    <m/>
    <s v="G"/>
    <s v="RG"/>
    <s v="left"/>
  </r>
  <r>
    <m/>
    <x v="1"/>
    <s v="Control 1"/>
    <s v="LapChol Case 0001 03"/>
    <n v="230"/>
    <n v="1"/>
    <x v="1"/>
    <x v="3"/>
    <m/>
    <s v="G"/>
    <s v="RG"/>
    <s v="left"/>
  </r>
  <r>
    <m/>
    <x v="1"/>
    <s v="Control 1"/>
    <s v="LapChol Case 0001 03"/>
    <n v="240"/>
    <n v="1"/>
    <x v="1"/>
    <x v="3"/>
    <m/>
    <s v="G"/>
    <s v="RG"/>
    <s v="left"/>
  </r>
  <r>
    <m/>
    <x v="1"/>
    <s v="Control 1"/>
    <m/>
    <n v="240"/>
    <n v="2"/>
    <x v="2"/>
    <x v="3"/>
    <m/>
    <s v="dissector"/>
    <s v="other"/>
    <s v="right"/>
  </r>
  <r>
    <m/>
    <x v="1"/>
    <s v="Control 1"/>
    <s v="LapChol Case 0001 03"/>
    <n v="250"/>
    <n v="1"/>
    <x v="1"/>
    <x v="3"/>
    <m/>
    <s v="G"/>
    <s v="RG"/>
    <s v="left"/>
  </r>
  <r>
    <m/>
    <x v="1"/>
    <s v="Control 1"/>
    <s v="LapChol Case 0001 03"/>
    <n v="260"/>
    <n v="1"/>
    <x v="1"/>
    <x v="3"/>
    <m/>
    <s v="G"/>
    <s v="RG"/>
    <s v="left"/>
  </r>
  <r>
    <m/>
    <x v="1"/>
    <s v="Control 1"/>
    <m/>
    <n v="260"/>
    <n v="2"/>
    <x v="3"/>
    <x v="2"/>
    <m/>
    <s v="Scissor"/>
    <m/>
    <s v="right"/>
  </r>
  <r>
    <m/>
    <x v="1"/>
    <s v="Control 1"/>
    <s v="LapChol Case 0001 03"/>
    <n v="270"/>
    <n v="1"/>
    <x v="1"/>
    <x v="3"/>
    <m/>
    <s v="G"/>
    <s v="RG"/>
    <s v="left"/>
  </r>
  <r>
    <m/>
    <x v="1"/>
    <s v="Control 1"/>
    <m/>
    <n v="270"/>
    <n v="2"/>
    <x v="2"/>
    <x v="3"/>
    <m/>
    <s v="Scissor"/>
    <s v="blunt dissection"/>
    <s v="right"/>
  </r>
  <r>
    <m/>
    <x v="1"/>
    <s v="Control 1"/>
    <s v="LapChol Case 0001 03"/>
    <n v="280"/>
    <n v="1"/>
    <x v="1"/>
    <x v="3"/>
    <m/>
    <s v="G"/>
    <s v="RG"/>
    <s v="left"/>
  </r>
  <r>
    <m/>
    <x v="1"/>
    <s v="Control 1"/>
    <m/>
    <n v="280"/>
    <n v="2"/>
    <x v="2"/>
    <x v="3"/>
    <m/>
    <s v="Scissor"/>
    <s v="Cut-Sharp dissection"/>
    <s v="right"/>
  </r>
  <r>
    <m/>
    <x v="1"/>
    <s v="Control 1"/>
    <s v="LapChol Case 0001 03"/>
    <n v="300"/>
    <n v="1"/>
    <x v="2"/>
    <x v="3"/>
    <m/>
    <s v="G"/>
    <s v="RG"/>
    <s v="left"/>
  </r>
  <r>
    <m/>
    <x v="1"/>
    <s v="Control 1"/>
    <m/>
    <n v="300"/>
    <n v="2"/>
    <x v="1"/>
    <x v="3"/>
    <m/>
    <s v="Scissor"/>
    <s v="other"/>
    <s v="right"/>
  </r>
  <r>
    <m/>
    <x v="1"/>
    <s v="Control 1"/>
    <s v="LapChol Case 0001 03"/>
    <n v="310"/>
    <n v="1"/>
    <x v="1"/>
    <x v="3"/>
    <m/>
    <s v="G"/>
    <s v="RG"/>
    <s v="left"/>
  </r>
  <r>
    <m/>
    <x v="1"/>
    <s v="Control 1"/>
    <s v="LapChol Case 0001 03"/>
    <n v="320"/>
    <n v="1"/>
    <x v="1"/>
    <x v="3"/>
    <m/>
    <s v="G"/>
    <s v="RG"/>
    <s v="left"/>
  </r>
  <r>
    <m/>
    <x v="1"/>
    <s v="Control 1"/>
    <s v="LapChol Case 0001 03"/>
    <n v="320"/>
    <n v="2"/>
    <x v="3"/>
    <x v="2"/>
    <m/>
    <s v="harmonic"/>
    <m/>
    <s v="right"/>
  </r>
  <r>
    <m/>
    <x v="1"/>
    <s v="Control 1"/>
    <s v="LapChol Case 0001 04"/>
    <n v="20"/>
    <n v="1"/>
    <x v="2"/>
    <x v="3"/>
    <m/>
    <s v="G"/>
    <s v="RG"/>
    <s v="left"/>
  </r>
  <r>
    <m/>
    <x v="1"/>
    <s v="Control 1"/>
    <s v="LapChol Case 0001 04"/>
    <n v="20"/>
    <n v="2"/>
    <x v="1"/>
    <x v="3"/>
    <m/>
    <s v="harmonic"/>
    <s v="other"/>
    <s v="right"/>
  </r>
  <r>
    <m/>
    <x v="1"/>
    <s v="Control 1"/>
    <s v="LapChol Case 0001 04"/>
    <n v="40"/>
    <n v="1"/>
    <x v="1"/>
    <x v="3"/>
    <m/>
    <s v="G"/>
    <s v="RG"/>
    <s v="left"/>
  </r>
  <r>
    <m/>
    <x v="1"/>
    <s v="Control 1"/>
    <s v="LapChol Case 0001 04"/>
    <n v="60"/>
    <n v="1"/>
    <x v="1"/>
    <x v="3"/>
    <m/>
    <s v="G"/>
    <s v="RG"/>
    <s v="left"/>
  </r>
  <r>
    <m/>
    <x v="1"/>
    <s v="Control 1"/>
    <s v="LapChol Case 0001 04"/>
    <n v="70"/>
    <n v="1"/>
    <x v="2"/>
    <x v="3"/>
    <m/>
    <s v="G"/>
    <s v="RG"/>
    <s v="left"/>
  </r>
  <r>
    <m/>
    <x v="1"/>
    <s v="Control 1"/>
    <s v="LapChol Case 0001 04"/>
    <n v="70"/>
    <n v="2"/>
    <x v="1"/>
    <x v="3"/>
    <m/>
    <s v="G"/>
    <s v="RG"/>
    <s v="left"/>
  </r>
  <r>
    <m/>
    <x v="1"/>
    <s v="Control 1"/>
    <s v="LapChol Case 0001 04"/>
    <n v="80"/>
    <n v="1"/>
    <x v="1"/>
    <x v="3"/>
    <m/>
    <s v="G"/>
    <s v="RG"/>
    <s v="left"/>
  </r>
  <r>
    <m/>
    <x v="1"/>
    <s v="Control 1"/>
    <s v="LapChol Case 0001 04"/>
    <n v="80"/>
    <n v="2"/>
    <x v="4"/>
    <x v="2"/>
    <m/>
    <s v="G2"/>
    <m/>
    <s v="left"/>
  </r>
  <r>
    <m/>
    <x v="1"/>
    <s v="Control 1"/>
    <s v="LapChol Case 0001 04"/>
    <n v="110"/>
    <n v="1"/>
    <x v="4"/>
    <x v="2"/>
    <m/>
    <s v="G"/>
    <m/>
    <s v="left"/>
  </r>
  <r>
    <m/>
    <x v="1"/>
    <s v="Control 1"/>
    <s v="LapChol Case 0001 04"/>
    <n v="110"/>
    <n v="2"/>
    <x v="2"/>
    <x v="3"/>
    <m/>
    <s v="G2"/>
    <s v="RG"/>
    <s v="left"/>
  </r>
  <r>
    <m/>
    <x v="1"/>
    <s v="Control 1"/>
    <s v="LapChol Case 0001 04"/>
    <n v="120"/>
    <n v="1"/>
    <x v="1"/>
    <x v="3"/>
    <m/>
    <s v="G"/>
    <s v="RG"/>
    <s v="left"/>
  </r>
  <r>
    <m/>
    <x v="1"/>
    <s v="Control 1"/>
    <s v="LapChol Case 0001 04"/>
    <n v="120"/>
    <n v="2"/>
    <x v="4"/>
    <x v="2"/>
    <m/>
    <s v="G2"/>
    <m/>
    <s v="left"/>
  </r>
  <r>
    <m/>
    <x v="1"/>
    <s v="Control 1"/>
    <s v="LapChol Case 0001 04"/>
    <n v="130"/>
    <n v="1"/>
    <x v="3"/>
    <x v="2"/>
    <m/>
    <s v="dissector"/>
    <m/>
    <s v="right"/>
  </r>
  <r>
    <m/>
    <x v="1"/>
    <s v="Control 1"/>
    <s v="LapChol Case 0001 04"/>
    <n v="130"/>
    <n v="2"/>
    <x v="4"/>
    <x v="2"/>
    <m/>
    <s v="G"/>
    <m/>
    <s v="left"/>
  </r>
  <r>
    <m/>
    <x v="1"/>
    <s v="Control 1"/>
    <s v="LapChol Case 0001 04"/>
    <n v="160"/>
    <n v="1"/>
    <x v="4"/>
    <x v="2"/>
    <m/>
    <s v="G"/>
    <m/>
    <s v="left"/>
  </r>
  <r>
    <m/>
    <x v="1"/>
    <s v="Control 1"/>
    <s v="LapChol Case 0001 04"/>
    <n v="200"/>
    <n v="1"/>
    <x v="1"/>
    <x v="3"/>
    <m/>
    <s v="G"/>
    <m/>
    <s v="left"/>
  </r>
  <r>
    <m/>
    <x v="1"/>
    <s v="Control 1"/>
    <s v="LapChol Case 0001 04"/>
    <n v="200"/>
    <n v="2"/>
    <x v="3"/>
    <x v="2"/>
    <m/>
    <s v="G2"/>
    <m/>
    <s v="left"/>
  </r>
  <r>
    <m/>
    <x v="1"/>
    <s v="Control 1"/>
    <s v="LapChol Case 0001 04"/>
    <n v="270"/>
    <n v="1"/>
    <x v="1"/>
    <x v="3"/>
    <m/>
    <s v="G"/>
    <s v="RG"/>
    <s v="left"/>
  </r>
  <r>
    <m/>
    <x v="1"/>
    <s v="Control 1"/>
    <s v="LapChol Case 0001 04"/>
    <n v="270"/>
    <n v="2"/>
    <x v="3"/>
    <x v="2"/>
    <m/>
    <s v="dissector"/>
    <m/>
    <s v="right"/>
  </r>
  <r>
    <m/>
    <x v="1"/>
    <s v="Control 1"/>
    <s v="LapChol Case 0001 04"/>
    <n v="280"/>
    <n v="1"/>
    <x v="1"/>
    <x v="3"/>
    <m/>
    <s v="G"/>
    <s v="RG"/>
    <s v="left"/>
  </r>
  <r>
    <m/>
    <x v="1"/>
    <s v="Control 1"/>
    <s v="LapChol Case 0001 04"/>
    <n v="280"/>
    <n v="2"/>
    <x v="2"/>
    <x v="3"/>
    <m/>
    <s v="dissector"/>
    <s v="blunt dissection"/>
    <s v="right"/>
  </r>
  <r>
    <m/>
    <x v="1"/>
    <s v="Control 1"/>
    <s v="LapChol Case 0001 04"/>
    <n v="290"/>
    <n v="1"/>
    <x v="1"/>
    <x v="3"/>
    <m/>
    <s v="G"/>
    <s v="RG"/>
    <s v="left"/>
  </r>
  <r>
    <m/>
    <x v="1"/>
    <s v="Control 1"/>
    <s v="LapChol Case 0001 04"/>
    <n v="290"/>
    <n v="2"/>
    <x v="2"/>
    <x v="3"/>
    <m/>
    <s v="dissector"/>
    <s v="blunt dissection"/>
    <s v="right"/>
  </r>
  <r>
    <m/>
    <x v="1"/>
    <s v="Control 1"/>
    <s v="LapChol Case 0001 04"/>
    <n v="300"/>
    <n v="1"/>
    <x v="1"/>
    <x v="3"/>
    <m/>
    <s v="G"/>
    <s v="RG"/>
    <s v="left"/>
  </r>
  <r>
    <m/>
    <x v="1"/>
    <s v="Control 1"/>
    <s v="LapChol Case 0001 04"/>
    <n v="300"/>
    <n v="2"/>
    <x v="2"/>
    <x v="3"/>
    <m/>
    <s v="dissector"/>
    <s v="other"/>
    <s v="right"/>
  </r>
  <r>
    <m/>
    <x v="1"/>
    <s v="Control 1"/>
    <s v="LapChol Case 0001 04"/>
    <n v="310"/>
    <n v="1"/>
    <x v="1"/>
    <x v="3"/>
    <m/>
    <s v="G"/>
    <s v="RG"/>
    <s v="left"/>
  </r>
  <r>
    <m/>
    <x v="1"/>
    <s v="Control 1"/>
    <s v="LapChol Case 0001 04"/>
    <n v="310"/>
    <n v="2"/>
    <x v="2"/>
    <x v="3"/>
    <m/>
    <s v="dissector"/>
    <s v="other"/>
    <s v="right"/>
  </r>
  <r>
    <m/>
    <x v="1"/>
    <s v="Control 1"/>
    <s v="LapChol Case 0001 04"/>
    <n v="330"/>
    <n v="1"/>
    <x v="1"/>
    <x v="3"/>
    <m/>
    <s v="G"/>
    <s v="RG"/>
    <s v="left"/>
  </r>
  <r>
    <m/>
    <x v="1"/>
    <s v="Control 1"/>
    <s v="LapChol Case 0001 04"/>
    <n v="330"/>
    <n v="2"/>
    <x v="3"/>
    <x v="2"/>
    <m/>
    <s v="dissector"/>
    <m/>
    <s v="right"/>
  </r>
  <r>
    <m/>
    <x v="1"/>
    <s v="Control 1"/>
    <s v="LapChol Case 0001 05"/>
    <n v="0"/>
    <n v="1"/>
    <x v="2"/>
    <x v="3"/>
    <m/>
    <s v="G"/>
    <s v="RG"/>
    <s v="left"/>
  </r>
  <r>
    <m/>
    <x v="1"/>
    <s v="Control 1"/>
    <s v="LapChol Case 0001 05"/>
    <n v="0"/>
    <n v="2"/>
    <x v="1"/>
    <x v="3"/>
    <m/>
    <s v="dissector"/>
    <s v="blunt dissection"/>
    <s v="right"/>
  </r>
  <r>
    <m/>
    <x v="1"/>
    <s v="Control 1"/>
    <s v="LapChol Case 0001 05"/>
    <n v="20"/>
    <n v="1"/>
    <x v="1"/>
    <x v="3"/>
    <m/>
    <s v="G"/>
    <s v="RG"/>
    <s v="left"/>
  </r>
  <r>
    <m/>
    <x v="1"/>
    <m/>
    <m/>
    <n v="20"/>
    <n v="2"/>
    <x v="1"/>
    <x v="3"/>
    <m/>
    <s v="dissector"/>
    <s v="other"/>
    <s v="right"/>
  </r>
  <r>
    <m/>
    <x v="1"/>
    <s v="Control 1"/>
    <s v="LapChol Case 0001 05"/>
    <n v="30"/>
    <n v="1"/>
    <x v="1"/>
    <x v="3"/>
    <m/>
    <s v="G"/>
    <s v="RG"/>
    <s v="left"/>
  </r>
  <r>
    <m/>
    <x v="1"/>
    <m/>
    <m/>
    <n v="30"/>
    <n v="2"/>
    <x v="2"/>
    <x v="3"/>
    <m/>
    <s v="dissector"/>
    <s v="other"/>
    <s v="right"/>
  </r>
  <r>
    <m/>
    <x v="1"/>
    <s v="Control 1"/>
    <s v="LapChol Case 0001 05"/>
    <n v="50"/>
    <n v="1"/>
    <x v="1"/>
    <x v="3"/>
    <m/>
    <s v="G"/>
    <s v="RG"/>
    <s v="left"/>
  </r>
  <r>
    <m/>
    <x v="1"/>
    <m/>
    <m/>
    <n v="50"/>
    <n v="2"/>
    <x v="3"/>
    <x v="2"/>
    <m/>
    <s v="dissector"/>
    <m/>
    <s v="right"/>
  </r>
  <r>
    <m/>
    <x v="1"/>
    <s v="Control 1"/>
    <s v="LapChol Case 0001 05"/>
    <n v="60"/>
    <n v="1"/>
    <x v="2"/>
    <x v="3"/>
    <m/>
    <s v="G"/>
    <s v="RG"/>
    <s v="left"/>
  </r>
  <r>
    <m/>
    <x v="1"/>
    <m/>
    <m/>
    <n v="60"/>
    <n v="2"/>
    <x v="4"/>
    <x v="2"/>
    <m/>
    <s v="none"/>
    <m/>
    <m/>
  </r>
  <r>
    <m/>
    <x v="1"/>
    <m/>
    <m/>
    <n v="60"/>
    <n v="3"/>
    <x v="3"/>
    <x v="2"/>
    <m/>
    <s v="dissector"/>
    <m/>
    <s v="right"/>
  </r>
  <r>
    <m/>
    <x v="1"/>
    <s v="Control 1"/>
    <s v="LapChol Case 0001 05"/>
    <n v="100"/>
    <n v="1"/>
    <x v="1"/>
    <x v="3"/>
    <m/>
    <s v="dissector"/>
    <s v="other"/>
    <s v="right"/>
  </r>
  <r>
    <m/>
    <x v="1"/>
    <s v="Control 1"/>
    <s v="LapChol Case 0001 05"/>
    <n v="110"/>
    <n v="1"/>
    <x v="4"/>
    <x v="2"/>
    <m/>
    <s v="none"/>
    <m/>
    <m/>
  </r>
  <r>
    <m/>
    <x v="1"/>
    <m/>
    <m/>
    <n v="110"/>
    <n v="2"/>
    <x v="2"/>
    <x v="3"/>
    <m/>
    <s v="G"/>
    <s v="RG"/>
    <s v="left"/>
  </r>
  <r>
    <m/>
    <x v="1"/>
    <m/>
    <m/>
    <n v="110"/>
    <n v="3"/>
    <x v="3"/>
    <x v="2"/>
    <m/>
    <s v="dissector"/>
    <m/>
    <s v="right"/>
  </r>
  <r>
    <m/>
    <x v="1"/>
    <s v="Control 1"/>
    <s v="LapChol Case 0001 05"/>
    <n v="140"/>
    <n v="1"/>
    <x v="1"/>
    <x v="3"/>
    <m/>
    <s v="Suction"/>
    <s v="blunt dissection"/>
    <s v="right"/>
  </r>
  <r>
    <m/>
    <x v="1"/>
    <s v="Control 1"/>
    <s v="LapChol Case 0001 05"/>
    <n v="150"/>
    <n v="1"/>
    <x v="1"/>
    <x v="3"/>
    <m/>
    <s v="G"/>
    <s v="RG"/>
    <s v="left"/>
  </r>
  <r>
    <m/>
    <x v="1"/>
    <m/>
    <m/>
    <n v="150"/>
    <n v="2"/>
    <x v="2"/>
    <x v="3"/>
    <m/>
    <s v="Suction"/>
    <s v="suction"/>
    <s v="right"/>
  </r>
  <r>
    <m/>
    <x v="1"/>
    <s v="Control 1"/>
    <s v="LapChol Case 0001 05"/>
    <n v="170"/>
    <n v="1"/>
    <x v="1"/>
    <x v="3"/>
    <m/>
    <s v="dissector"/>
    <s v="blunt dissection"/>
    <s v="right"/>
  </r>
  <r>
    <m/>
    <x v="1"/>
    <m/>
    <m/>
    <n v="170"/>
    <n v="2"/>
    <x v="2"/>
    <x v="3"/>
    <m/>
    <s v="G"/>
    <s v="RG"/>
    <s v="left"/>
  </r>
  <r>
    <m/>
    <x v="1"/>
    <s v="Control 1"/>
    <s v="LapChol Case 0001 05"/>
    <n v="180"/>
    <n v="1"/>
    <x v="1"/>
    <x v="3"/>
    <m/>
    <s v="dissector"/>
    <s v="other"/>
    <s v="right"/>
  </r>
  <r>
    <m/>
    <x v="1"/>
    <m/>
    <m/>
    <n v="180"/>
    <n v="2"/>
    <x v="2"/>
    <x v="3"/>
    <m/>
    <s v="G"/>
    <s v="RG"/>
    <s v="left"/>
  </r>
  <r>
    <m/>
    <x v="1"/>
    <s v="Control 1"/>
    <s v="LapChol Case 0001 05"/>
    <n v="190"/>
    <n v="1"/>
    <x v="1"/>
    <x v="3"/>
    <m/>
    <s v="dissector"/>
    <s v="other"/>
    <s v="right"/>
  </r>
  <r>
    <m/>
    <x v="1"/>
    <s v="Control 1"/>
    <s v="LapChol Case 0001 05"/>
    <n v="230"/>
    <n v="1"/>
    <x v="2"/>
    <x v="3"/>
    <m/>
    <s v="G"/>
    <s v="RG"/>
    <s v="left"/>
  </r>
  <r>
    <m/>
    <x v="1"/>
    <m/>
    <m/>
    <n v="230"/>
    <n v="2"/>
    <x v="1"/>
    <x v="3"/>
    <m/>
    <s v="dissector"/>
    <s v="RG"/>
    <s v="right"/>
  </r>
  <r>
    <m/>
    <x v="1"/>
    <m/>
    <m/>
    <n v="230"/>
    <n v="3"/>
    <x v="1"/>
    <x v="3"/>
    <m/>
    <s v="G2"/>
    <s v="RG"/>
    <s v="left"/>
  </r>
  <r>
    <m/>
    <x v="1"/>
    <s v="Control 1"/>
    <s v="LapChol Case 0001 05"/>
    <n v="240"/>
    <n v="1"/>
    <x v="1"/>
    <x v="3"/>
    <m/>
    <s v="G"/>
    <s v="RG"/>
    <s v="left"/>
  </r>
  <r>
    <m/>
    <x v="1"/>
    <m/>
    <m/>
    <n v="240"/>
    <n v="2"/>
    <x v="2"/>
    <x v="3"/>
    <m/>
    <s v="G2"/>
    <s v="RG"/>
    <s v="left"/>
  </r>
  <r>
    <m/>
    <x v="1"/>
    <m/>
    <m/>
    <n v="240"/>
    <n v="3"/>
    <x v="2"/>
    <x v="3"/>
    <m/>
    <s v="dissector"/>
    <s v="RG"/>
    <s v="right"/>
  </r>
  <r>
    <m/>
    <x v="1"/>
    <s v="Control 1"/>
    <s v="LapChol Case 0001 05"/>
    <n v="270"/>
    <n v="1"/>
    <x v="1"/>
    <x v="3"/>
    <m/>
    <s v="G"/>
    <s v="RG"/>
    <s v="left"/>
  </r>
  <r>
    <m/>
    <x v="1"/>
    <s v="Control 1"/>
    <s v="LapChol Case 0001 05"/>
    <n v="290"/>
    <n v="1"/>
    <x v="2"/>
    <x v="3"/>
    <m/>
    <s v="G"/>
    <s v="RG"/>
    <s v="left"/>
  </r>
  <r>
    <m/>
    <x v="1"/>
    <s v="Control 1"/>
    <s v="LapChol Case 0001 05"/>
    <n v="290"/>
    <n v="2"/>
    <x v="4"/>
    <x v="2"/>
    <m/>
    <s v="Scissor"/>
    <m/>
    <s v="right"/>
  </r>
  <r>
    <m/>
    <x v="1"/>
    <s v="Control 1"/>
    <s v="LapChol Case 0001 05"/>
    <n v="310"/>
    <n v="1"/>
    <x v="1"/>
    <x v="3"/>
    <m/>
    <s v="G"/>
    <s v="RG"/>
    <s v="left"/>
  </r>
  <r>
    <m/>
    <x v="1"/>
    <s v="Control 1"/>
    <s v="LapChol Case 0001 05"/>
    <n v="310"/>
    <n v="2"/>
    <x v="3"/>
    <x v="2"/>
    <m/>
    <s v="Scissor"/>
    <m/>
    <s v="right"/>
  </r>
  <r>
    <m/>
    <x v="1"/>
    <s v="Control 2"/>
    <s v="LapChol Case 0002 02"/>
    <n v="10"/>
    <n v="1"/>
    <x v="0"/>
    <x v="0"/>
    <s v="not a target"/>
    <m/>
    <m/>
    <m/>
  </r>
  <r>
    <m/>
    <x v="1"/>
    <s v="Control 2"/>
    <s v="LapChol Case 0002 02"/>
    <n v="160"/>
    <n v="1"/>
    <x v="0"/>
    <x v="0"/>
    <s v="not a target"/>
    <m/>
    <m/>
    <m/>
  </r>
  <r>
    <m/>
    <x v="1"/>
    <s v="Control 2"/>
    <s v="LapChol Case 0002 02"/>
    <n v="170"/>
    <n v="1"/>
    <x v="0"/>
    <x v="0"/>
    <s v="not a target"/>
    <m/>
    <m/>
    <m/>
  </r>
  <r>
    <m/>
    <x v="1"/>
    <s v="Control 2"/>
    <s v="LapChol Case 0002 02"/>
    <n v="180"/>
    <n v="1"/>
    <x v="2"/>
    <x v="3"/>
    <m/>
    <s v="G"/>
    <s v="RG"/>
    <s v="left"/>
  </r>
  <r>
    <m/>
    <x v="1"/>
    <m/>
    <s v="LapChol Case 0002 02"/>
    <n v="180"/>
    <n v="2"/>
    <x v="4"/>
    <x v="2"/>
    <m/>
    <s v="G2"/>
    <m/>
    <s v="left"/>
  </r>
  <r>
    <m/>
    <x v="1"/>
    <s v="Control 2"/>
    <s v="LapChol Case 0002 02"/>
    <n v="210"/>
    <n v="1"/>
    <x v="1"/>
    <x v="3"/>
    <m/>
    <s v="G"/>
    <s v="RG"/>
    <s v="left"/>
  </r>
  <r>
    <m/>
    <x v="1"/>
    <m/>
    <s v="LapChol Case 0002 02"/>
    <n v="210"/>
    <n v="2"/>
    <x v="1"/>
    <x v="3"/>
    <m/>
    <s v="G2"/>
    <s v="RG"/>
    <s v="left"/>
  </r>
  <r>
    <m/>
    <x v="1"/>
    <m/>
    <s v="LapChol Case 0002 02"/>
    <n v="210"/>
    <n v="3"/>
    <x v="3"/>
    <x v="2"/>
    <m/>
    <s v="cautery"/>
    <m/>
    <s v="right"/>
  </r>
  <r>
    <m/>
    <x v="1"/>
    <s v="Control 2"/>
    <s v="LapChol Case 0002 02"/>
    <n v="230"/>
    <n v="1"/>
    <x v="1"/>
    <x v="3"/>
    <m/>
    <s v="G"/>
    <s v="RG"/>
    <s v="left"/>
  </r>
  <r>
    <m/>
    <x v="1"/>
    <m/>
    <m/>
    <n v="230"/>
    <n v="2"/>
    <x v="2"/>
    <x v="3"/>
    <m/>
    <s v="cautery"/>
    <s v="energy-sharp dissection"/>
    <s v="right"/>
  </r>
  <r>
    <m/>
    <x v="1"/>
    <s v="Control 2"/>
    <s v="LapChol Case 0002 02"/>
    <n v="240"/>
    <n v="1"/>
    <x v="1"/>
    <x v="3"/>
    <m/>
    <s v="G"/>
    <s v="RG"/>
    <s v="left"/>
  </r>
  <r>
    <m/>
    <x v="1"/>
    <m/>
    <m/>
    <n v="240"/>
    <n v="2"/>
    <x v="2"/>
    <x v="3"/>
    <m/>
    <s v="cautery"/>
    <s v="energy-sharp dissection "/>
    <s v="right"/>
  </r>
  <r>
    <m/>
    <x v="1"/>
    <s v="Control 2"/>
    <s v="LapChol Case 0002 02"/>
    <n v="260"/>
    <n v="1"/>
    <x v="1"/>
    <x v="3"/>
    <m/>
    <s v="cautery"/>
    <s v="energy-sharp dissection"/>
    <s v="right"/>
  </r>
  <r>
    <m/>
    <x v="1"/>
    <s v="Control 2"/>
    <s v="LapChol Case 0002 02"/>
    <n v="270"/>
    <n v="1"/>
    <x v="1"/>
    <x v="3"/>
    <m/>
    <s v="cautery"/>
    <s v="other"/>
    <s v="right"/>
  </r>
  <r>
    <m/>
    <x v="1"/>
    <s v="Control 2"/>
    <s v="LapChol Case 0002 02"/>
    <n v="280"/>
    <n v="1"/>
    <x v="1"/>
    <x v="3"/>
    <m/>
    <s v="cautery"/>
    <s v="energy-sharp dissection"/>
    <s v="right"/>
  </r>
  <r>
    <m/>
    <x v="1"/>
    <s v="Control 2"/>
    <s v="LapChol Case 0002 02"/>
    <n v="290"/>
    <n v="1"/>
    <x v="1"/>
    <x v="3"/>
    <m/>
    <s v="cautery"/>
    <s v="energy-sharp dissection"/>
    <s v="right"/>
  </r>
  <r>
    <m/>
    <x v="1"/>
    <s v="Control 2"/>
    <s v="LapChol Case 0002 02"/>
    <n v="300"/>
    <n v="1"/>
    <x v="1"/>
    <x v="3"/>
    <m/>
    <s v="cautery"/>
    <s v="energy-sharp dissection"/>
    <s v="right"/>
  </r>
  <r>
    <m/>
    <x v="1"/>
    <s v="Control 2"/>
    <s v="LapChol Case 0002 02"/>
    <n v="320"/>
    <n v="1"/>
    <x v="1"/>
    <x v="3"/>
    <m/>
    <s v="G"/>
    <s v="RG"/>
    <s v="left"/>
  </r>
  <r>
    <m/>
    <x v="1"/>
    <s v="Control 2"/>
    <s v="LapChol Case 0002 02"/>
    <n v="320"/>
    <n v="2"/>
    <x v="3"/>
    <x v="2"/>
    <m/>
    <s v="cautery"/>
    <m/>
    <s v="right"/>
  </r>
  <r>
    <m/>
    <x v="1"/>
    <s v="Control 2"/>
    <s v="LapChol Case 0002 02"/>
    <n v="330"/>
    <n v="1"/>
    <x v="1"/>
    <x v="3"/>
    <m/>
    <s v="G"/>
    <s v="RG"/>
    <s v="left"/>
  </r>
  <r>
    <m/>
    <x v="1"/>
    <s v="Control 2"/>
    <s v="LapChol Case 0002 02"/>
    <n v="330"/>
    <n v="2"/>
    <x v="1"/>
    <x v="3"/>
    <m/>
    <s v="cautery"/>
    <s v="energy-sharp dissection"/>
    <s v="right"/>
  </r>
  <r>
    <m/>
    <x v="1"/>
    <s v="Control 2"/>
    <s v="LapChol Case 0002 03"/>
    <n v="0"/>
    <n v="1"/>
    <x v="1"/>
    <x v="3"/>
    <m/>
    <s v="G"/>
    <s v="RG"/>
    <s v="left"/>
  </r>
  <r>
    <m/>
    <x v="1"/>
    <s v="Control 2"/>
    <s v="LapChol Case 0002 03"/>
    <n v="0"/>
    <n v="2"/>
    <x v="1"/>
    <x v="3"/>
    <m/>
    <s v="cautery"/>
    <s v="energy-sharp dissection"/>
    <s v="right"/>
  </r>
  <r>
    <m/>
    <x v="1"/>
    <s v="Control 2"/>
    <s v="LapChol Case 0002 03"/>
    <n v="20"/>
    <n v="1"/>
    <x v="4"/>
    <x v="2"/>
    <m/>
    <s v="none"/>
    <m/>
    <m/>
  </r>
  <r>
    <m/>
    <x v="1"/>
    <s v="Control 2"/>
    <s v="LapChol Case 0002 03"/>
    <n v="20"/>
    <n v="2"/>
    <x v="2"/>
    <x v="3"/>
    <m/>
    <s v="G"/>
    <s v="RG"/>
    <s v="left"/>
  </r>
  <r>
    <m/>
    <x v="1"/>
    <s v="Control 2"/>
    <s v="LapChol Case 0002 03"/>
    <n v="20"/>
    <n v="3"/>
    <x v="2"/>
    <x v="3"/>
    <m/>
    <s v="cautery"/>
    <s v="energy-sharp dissection"/>
    <s v="right"/>
  </r>
  <r>
    <m/>
    <x v="1"/>
    <s v="Control 2"/>
    <s v="LapChol Case 0002 03"/>
    <n v="50"/>
    <n v="1"/>
    <x v="1"/>
    <x v="3"/>
    <m/>
    <s v="G"/>
    <s v="RG"/>
    <s v="left"/>
  </r>
  <r>
    <m/>
    <x v="1"/>
    <s v="Control 2"/>
    <s v="LapChol Case 0002 03"/>
    <n v="50"/>
    <n v="2"/>
    <x v="2"/>
    <x v="3"/>
    <m/>
    <s v="G2"/>
    <s v="RG"/>
    <s v="left"/>
  </r>
  <r>
    <m/>
    <x v="1"/>
    <s v="Control 2"/>
    <s v="LapChol Case 0002 03"/>
    <n v="50"/>
    <n v="3"/>
    <x v="3"/>
    <x v="2"/>
    <m/>
    <s v="cautery"/>
    <m/>
    <s v="right"/>
  </r>
  <r>
    <m/>
    <x v="1"/>
    <s v="Control 2"/>
    <s v="LapChol Case 0002 03"/>
    <n v="60"/>
    <n v="1"/>
    <x v="1"/>
    <x v="3"/>
    <m/>
    <s v="G"/>
    <s v="RG"/>
    <s v="left"/>
  </r>
  <r>
    <m/>
    <x v="1"/>
    <s v="Control 2"/>
    <s v="LapChol Case 0002 03"/>
    <n v="70"/>
    <n v="1"/>
    <x v="2"/>
    <x v="3"/>
    <m/>
    <s v="G"/>
    <s v="RG"/>
    <s v="left"/>
  </r>
  <r>
    <m/>
    <x v="1"/>
    <s v="Control 2"/>
    <s v="LapChol Case 0002 03"/>
    <n v="70"/>
    <n v="2"/>
    <x v="4"/>
    <x v="2"/>
    <m/>
    <s v="cautery"/>
    <m/>
    <s v="right"/>
  </r>
  <r>
    <m/>
    <x v="1"/>
    <s v="Control 2"/>
    <s v="LapChol Case 0002 03"/>
    <n v="80"/>
    <n v="1"/>
    <x v="1"/>
    <x v="3"/>
    <m/>
    <s v="G"/>
    <s v="RG"/>
    <s v="left"/>
  </r>
  <r>
    <m/>
    <x v="1"/>
    <s v="Control 2"/>
    <s v="LapChol Case 0002 03"/>
    <n v="80"/>
    <n v="2"/>
    <x v="4"/>
    <x v="2"/>
    <m/>
    <s v="cautery"/>
    <m/>
    <s v="right"/>
  </r>
  <r>
    <m/>
    <x v="1"/>
    <s v="Control 2"/>
    <s v="LapChol Case 0002 03"/>
    <n v="90"/>
    <n v="1"/>
    <x v="1"/>
    <x v="3"/>
    <m/>
    <s v="G"/>
    <s v="RG"/>
    <s v="left"/>
  </r>
  <r>
    <m/>
    <x v="1"/>
    <s v="Control 2"/>
    <s v="LapChol Case 0002 03"/>
    <n v="90"/>
    <n v="2"/>
    <x v="1"/>
    <x v="3"/>
    <m/>
    <s v="cautery"/>
    <s v="energy-sharp dissection"/>
    <s v="right"/>
  </r>
  <r>
    <m/>
    <x v="1"/>
    <s v="Control 2"/>
    <s v="LapChol Case 0002 03"/>
    <n v="160"/>
    <n v="1"/>
    <x v="1"/>
    <x v="3"/>
    <m/>
    <s v="cautery"/>
    <s v="energy-sharp dissection"/>
    <s v="right"/>
  </r>
  <r>
    <m/>
    <x v="1"/>
    <s v="Control 2"/>
    <s v="LapChol Case 0002 03"/>
    <n v="190"/>
    <n v="1"/>
    <x v="1"/>
    <x v="3"/>
    <m/>
    <s v="cautery"/>
    <s v="energy-sharp dissection"/>
    <s v="right"/>
  </r>
  <r>
    <m/>
    <x v="1"/>
    <s v="Control 2"/>
    <s v="LapChol Case 0002 03"/>
    <n v="210"/>
    <n v="1"/>
    <x v="1"/>
    <x v="3"/>
    <m/>
    <s v="G"/>
    <s v="RG"/>
    <s v="left"/>
  </r>
  <r>
    <m/>
    <x v="1"/>
    <s v="Control 2"/>
    <s v="LapChol Case 0002 03"/>
    <n v="210"/>
    <n v="2"/>
    <x v="3"/>
    <x v="2"/>
    <m/>
    <s v="cautery"/>
    <m/>
    <s v="right"/>
  </r>
  <r>
    <m/>
    <x v="1"/>
    <s v="Control 2"/>
    <s v="LapChol Case 0002 03"/>
    <n v="240"/>
    <n v="1"/>
    <x v="1"/>
    <x v="3"/>
    <m/>
    <s v="G"/>
    <s v="RG"/>
    <s v="left"/>
  </r>
  <r>
    <m/>
    <x v="1"/>
    <s v="Control 2"/>
    <s v="LapChol Case 0002 03"/>
    <n v="240"/>
    <n v="2"/>
    <x v="3"/>
    <x v="2"/>
    <m/>
    <s v="cautery"/>
    <m/>
    <s v="right"/>
  </r>
  <r>
    <m/>
    <x v="1"/>
    <s v="Control 2"/>
    <s v="LapChol Case 0002 03"/>
    <n v="270"/>
    <n v="1"/>
    <x v="1"/>
    <x v="3"/>
    <m/>
    <s v="G"/>
    <s v="RG"/>
    <s v="left"/>
  </r>
  <r>
    <m/>
    <x v="1"/>
    <s v="Control 2"/>
    <s v="LapChol Case 0002 03"/>
    <n v="270"/>
    <n v="2"/>
    <x v="3"/>
    <x v="2"/>
    <m/>
    <s v="cautery"/>
    <m/>
    <s v="right"/>
  </r>
  <r>
    <m/>
    <x v="1"/>
    <s v="Control 2"/>
    <s v="LapChol Case 0002 03"/>
    <n v="280"/>
    <n v="1"/>
    <x v="1"/>
    <x v="3"/>
    <m/>
    <s v="G"/>
    <s v="RG"/>
    <s v="left"/>
  </r>
  <r>
    <m/>
    <x v="1"/>
    <s v="Control 2"/>
    <s v="LapChol Case 0002 03"/>
    <n v="280"/>
    <n v="2"/>
    <x v="1"/>
    <x v="3"/>
    <m/>
    <s v="cautery"/>
    <s v="other"/>
    <s v="right"/>
  </r>
  <r>
    <m/>
    <x v="1"/>
    <s v="Control 2"/>
    <s v="LapChol Case 0002 03"/>
    <n v="290"/>
    <n v="1"/>
    <x v="1"/>
    <x v="3"/>
    <m/>
    <s v="G"/>
    <s v="RG"/>
    <s v="left"/>
  </r>
  <r>
    <m/>
    <x v="1"/>
    <s v="Control 2"/>
    <s v="LapChol Case 0002 03"/>
    <n v="290"/>
    <n v="2"/>
    <x v="1"/>
    <x v="3"/>
    <m/>
    <s v="G"/>
    <s v="RG"/>
    <s v="left"/>
  </r>
  <r>
    <m/>
    <x v="1"/>
    <s v="Control 2"/>
    <s v="LapChol Case 0002 03"/>
    <n v="300"/>
    <n v="1"/>
    <x v="1"/>
    <x v="3"/>
    <m/>
    <s v="G"/>
    <s v="RG"/>
    <s v="left"/>
  </r>
  <r>
    <m/>
    <x v="1"/>
    <s v="Control 2"/>
    <s v="LapChol Case 0002 03"/>
    <n v="320"/>
    <n v="1"/>
    <x v="1"/>
    <x v="3"/>
    <m/>
    <s v="G"/>
    <s v="RG"/>
    <s v="left"/>
  </r>
  <r>
    <m/>
    <x v="1"/>
    <s v="Control 2"/>
    <s v="LapChol Case 0002 03"/>
    <n v="320"/>
    <n v="2"/>
    <x v="4"/>
    <x v="2"/>
    <m/>
    <s v="dissector"/>
    <m/>
    <s v="right"/>
  </r>
  <r>
    <m/>
    <x v="1"/>
    <s v="Control 2"/>
    <s v="LapChol Case 0002 03"/>
    <n v="330"/>
    <n v="1"/>
    <x v="1"/>
    <x v="3"/>
    <m/>
    <s v="G"/>
    <s v="RG"/>
    <s v="left"/>
  </r>
  <r>
    <m/>
    <x v="1"/>
    <s v="Control 2"/>
    <s v="LapChol Case 0002 03"/>
    <n v="330"/>
    <n v="2"/>
    <x v="2"/>
    <x v="3"/>
    <m/>
    <s v="dissector"/>
    <s v="blunt dissection"/>
    <s v="right"/>
  </r>
  <r>
    <m/>
    <x v="1"/>
    <s v="Control 4"/>
    <s v="LapChol Case 0007 01"/>
    <n v="0"/>
    <n v="1"/>
    <x v="2"/>
    <x v="3"/>
    <m/>
    <s v="G"/>
    <s v="RG"/>
    <s v="left"/>
  </r>
  <r>
    <m/>
    <x v="1"/>
    <m/>
    <m/>
    <n v="0"/>
    <n v="2"/>
    <x v="2"/>
    <x v="3"/>
    <m/>
    <s v="G2"/>
    <s v="RG"/>
    <s v="left"/>
  </r>
  <r>
    <m/>
    <x v="1"/>
    <m/>
    <m/>
    <n v="0"/>
    <n v="3"/>
    <x v="1"/>
    <x v="3"/>
    <m/>
    <s v="Suction"/>
    <s v="other"/>
    <s v="right"/>
  </r>
  <r>
    <m/>
    <x v="1"/>
    <s v="Control 4"/>
    <s v="LapChol Case 0007 01"/>
    <n v="10"/>
    <n v="1"/>
    <x v="1"/>
    <x v="3"/>
    <m/>
    <s v="G"/>
    <s v="RG"/>
    <s v="left"/>
  </r>
  <r>
    <m/>
    <x v="1"/>
    <m/>
    <m/>
    <n v="10"/>
    <n v="2"/>
    <x v="2"/>
    <x v="3"/>
    <m/>
    <s v="G2"/>
    <s v="RG"/>
    <s v="left"/>
  </r>
  <r>
    <m/>
    <x v="1"/>
    <m/>
    <m/>
    <n v="10"/>
    <n v="3"/>
    <x v="3"/>
    <x v="2"/>
    <m/>
    <s v="Suction"/>
    <m/>
    <s v="right"/>
  </r>
  <r>
    <m/>
    <x v="1"/>
    <s v="Control 4"/>
    <s v="LapChol Case 0007 01"/>
    <n v="60"/>
    <n v="1"/>
    <x v="2"/>
    <x v="3"/>
    <m/>
    <s v="G"/>
    <s v="RG"/>
    <s v="left"/>
  </r>
  <r>
    <m/>
    <x v="1"/>
    <m/>
    <m/>
    <n v="60"/>
    <n v="2"/>
    <x v="1"/>
    <x v="3"/>
    <m/>
    <s v="cautery"/>
    <s v="energy-sharp dissection"/>
    <s v="right"/>
  </r>
  <r>
    <m/>
    <x v="1"/>
    <s v="Control 4"/>
    <s v="LapChol Case 0007 01"/>
    <n v="110"/>
    <n v="1"/>
    <x v="1"/>
    <x v="3"/>
    <m/>
    <s v="cautery"/>
    <s v="other"/>
    <s v="right"/>
  </r>
  <r>
    <m/>
    <x v="1"/>
    <s v="Control 4"/>
    <s v="LapChol Case 0007 01"/>
    <n v="120"/>
    <n v="1"/>
    <x v="2"/>
    <x v="3"/>
    <m/>
    <s v="G"/>
    <s v="RG"/>
    <s v="left"/>
  </r>
  <r>
    <m/>
    <x v="1"/>
    <m/>
    <m/>
    <n v="120"/>
    <n v="2"/>
    <x v="1"/>
    <x v="3"/>
    <m/>
    <s v="cautery"/>
    <s v="other"/>
    <s v="right"/>
  </r>
  <r>
    <m/>
    <x v="1"/>
    <s v="Control 4"/>
    <s v="LapChol Case 0007 01"/>
    <n v="130"/>
    <n v="1"/>
    <x v="1"/>
    <x v="3"/>
    <m/>
    <s v="cautery"/>
    <s v="energy-sharp dissection"/>
    <s v="right"/>
  </r>
  <r>
    <m/>
    <x v="1"/>
    <s v="Control 4"/>
    <s v="LapChol Case 0007 01"/>
    <n v="150"/>
    <n v="1"/>
    <x v="1"/>
    <x v="3"/>
    <m/>
    <s v="G"/>
    <s v="RG"/>
    <s v="left"/>
  </r>
  <r>
    <m/>
    <x v="1"/>
    <m/>
    <m/>
    <n v="150"/>
    <n v="2"/>
    <x v="2"/>
    <x v="3"/>
    <m/>
    <s v="cautery"/>
    <s v="energy-sharp dissection"/>
    <s v="right"/>
  </r>
  <r>
    <m/>
    <x v="1"/>
    <s v="Control 4"/>
    <s v="LapChol Case 0007 01"/>
    <n v="160"/>
    <n v="1"/>
    <x v="1"/>
    <x v="3"/>
    <m/>
    <s v="G"/>
    <s v="RG"/>
    <s v="left"/>
  </r>
  <r>
    <m/>
    <x v="1"/>
    <m/>
    <m/>
    <n v="160"/>
    <n v="2"/>
    <x v="3"/>
    <x v="2"/>
    <m/>
    <s v="cautery"/>
    <m/>
    <s v="right"/>
  </r>
  <r>
    <m/>
    <x v="1"/>
    <s v="Control 4"/>
    <s v="LapChol Case 0007 01"/>
    <n v="210"/>
    <n v="1"/>
    <x v="1"/>
    <x v="3"/>
    <m/>
    <s v="cautery"/>
    <s v="energy-sharp dissection"/>
    <s v="right"/>
  </r>
  <r>
    <m/>
    <x v="1"/>
    <s v="Control 4"/>
    <s v="LapChol Case 0007 01"/>
    <n v="240"/>
    <n v="1"/>
    <x v="1"/>
    <x v="3"/>
    <m/>
    <s v="cautery"/>
    <s v="energy-sharp dissection"/>
    <s v="right"/>
  </r>
  <r>
    <m/>
    <x v="1"/>
    <m/>
    <m/>
    <n v="240"/>
    <n v="2"/>
    <x v="2"/>
    <x v="3"/>
    <m/>
    <s v="G"/>
    <s v="RG"/>
    <s v="left"/>
  </r>
  <r>
    <m/>
    <x v="1"/>
    <s v="Control 4"/>
    <s v="LapChol Case 0007 01"/>
    <n v="250"/>
    <n v="1"/>
    <x v="1"/>
    <x v="3"/>
    <m/>
    <s v="cautery"/>
    <s v="energy-sharp dissection"/>
    <s v="right"/>
  </r>
  <r>
    <m/>
    <x v="1"/>
    <m/>
    <m/>
    <n v="250"/>
    <n v="2"/>
    <x v="2"/>
    <x v="3"/>
    <m/>
    <s v="G"/>
    <s v="RG"/>
    <s v="left"/>
  </r>
  <r>
    <m/>
    <x v="1"/>
    <s v="Control 4"/>
    <s v="LapChol Case 0007 01"/>
    <n v="270"/>
    <n v="1"/>
    <x v="1"/>
    <x v="3"/>
    <m/>
    <s v="G"/>
    <s v="RG"/>
    <s v="left"/>
  </r>
  <r>
    <m/>
    <x v="1"/>
    <m/>
    <m/>
    <n v="270"/>
    <n v="2"/>
    <x v="2"/>
    <x v="3"/>
    <m/>
    <s v="cautery"/>
    <s v="energy-sharp dissection"/>
    <s v="right"/>
  </r>
  <r>
    <m/>
    <x v="1"/>
    <s v="Control 4"/>
    <s v="LapChol Case 0007 01"/>
    <n v="280"/>
    <n v="1"/>
    <x v="1"/>
    <x v="3"/>
    <m/>
    <s v="G"/>
    <s v="RG"/>
    <s v="left"/>
  </r>
  <r>
    <m/>
    <x v="1"/>
    <m/>
    <m/>
    <n v="280"/>
    <n v="2"/>
    <x v="2"/>
    <x v="3"/>
    <m/>
    <s v="cautery"/>
    <s v="energy-sharp dissection"/>
    <s v="right"/>
  </r>
  <r>
    <m/>
    <x v="1"/>
    <s v="Control 4"/>
    <s v="LapChol Case 0007 01"/>
    <n v="300"/>
    <n v="1"/>
    <x v="4"/>
    <x v="2"/>
    <m/>
    <s v="cautery"/>
    <m/>
    <s v="right"/>
  </r>
  <r>
    <m/>
    <x v="1"/>
    <s v="Control 4"/>
    <s v="LapChol Case 0007 01"/>
    <n v="320"/>
    <n v="1"/>
    <x v="1"/>
    <x v="3"/>
    <m/>
    <s v="G"/>
    <s v="RG"/>
    <s v="left"/>
  </r>
  <r>
    <m/>
    <x v="1"/>
    <m/>
    <m/>
    <n v="320"/>
    <n v="2"/>
    <x v="2"/>
    <x v="3"/>
    <m/>
    <s v="G2"/>
    <s v="other"/>
    <s v="left"/>
  </r>
  <r>
    <m/>
    <x v="1"/>
    <m/>
    <m/>
    <n v="320"/>
    <n v="3"/>
    <x v="3"/>
    <x v="2"/>
    <m/>
    <s v="cautery"/>
    <m/>
    <s v="right"/>
  </r>
  <r>
    <m/>
    <x v="1"/>
    <s v="Control 4"/>
    <s v="LapChol Case 0007 01"/>
    <n v="330"/>
    <n v="1"/>
    <x v="1"/>
    <x v="3"/>
    <m/>
    <s v="cautery"/>
    <s v="energy-sharp dissection"/>
    <s v="right"/>
  </r>
  <r>
    <m/>
    <x v="1"/>
    <s v="Control 4"/>
    <s v="LapChol Case 0007 02"/>
    <n v="10"/>
    <n v="1"/>
    <x v="1"/>
    <x v="3"/>
    <m/>
    <s v="cautery"/>
    <s v="energy-sharp dissection"/>
    <s v="right"/>
  </r>
  <r>
    <m/>
    <x v="1"/>
    <s v="Control 4"/>
    <s v="LapChol Case 0007 02"/>
    <n v="30"/>
    <n v="1"/>
    <x v="1"/>
    <x v="3"/>
    <m/>
    <s v="cautery"/>
    <s v="energy-sharp dissection"/>
    <s v="right"/>
  </r>
  <r>
    <m/>
    <x v="1"/>
    <s v="Control 4"/>
    <s v="LapChol Case 0007 02"/>
    <n v="50"/>
    <n v="1"/>
    <x v="1"/>
    <x v="3"/>
    <m/>
    <s v="cautery"/>
    <s v="energy-sharp dissection"/>
    <s v="right"/>
  </r>
  <r>
    <m/>
    <x v="1"/>
    <m/>
    <m/>
    <n v="50"/>
    <n v="2"/>
    <x v="2"/>
    <x v="3"/>
    <m/>
    <s v="G"/>
    <s v="other"/>
    <s v="left"/>
  </r>
  <r>
    <m/>
    <x v="1"/>
    <s v="Control 4"/>
    <s v="LapChol Case 0007 02"/>
    <n v="60"/>
    <n v="1"/>
    <x v="1"/>
    <x v="3"/>
    <m/>
    <s v="cautery"/>
    <s v="energy-sharp dissection"/>
    <s v="right"/>
  </r>
  <r>
    <m/>
    <x v="1"/>
    <m/>
    <m/>
    <n v="60"/>
    <n v="2"/>
    <x v="2"/>
    <x v="3"/>
    <m/>
    <s v="G"/>
    <s v="RG"/>
    <s v="left"/>
  </r>
  <r>
    <m/>
    <x v="1"/>
    <m/>
    <m/>
    <n v="60"/>
    <n v="3"/>
    <x v="2"/>
    <x v="3"/>
    <m/>
    <s v="G2"/>
    <s v="other"/>
    <s v="left"/>
  </r>
  <r>
    <m/>
    <x v="1"/>
    <s v="Control 4"/>
    <s v="LapChol Case 0007 02"/>
    <n v="70"/>
    <n v="1"/>
    <x v="1"/>
    <x v="3"/>
    <m/>
    <s v="cautery"/>
    <s v="energy-sharp dissection"/>
    <s v="right"/>
  </r>
  <r>
    <m/>
    <x v="1"/>
    <m/>
    <m/>
    <n v="70"/>
    <n v="2"/>
    <x v="2"/>
    <x v="3"/>
    <m/>
    <s v="G"/>
    <s v="other"/>
    <s v="left"/>
  </r>
  <r>
    <m/>
    <x v="1"/>
    <s v="Control 4"/>
    <s v="LapChol Case 0007 02"/>
    <n v="90"/>
    <n v="1"/>
    <x v="1"/>
    <x v="3"/>
    <m/>
    <s v="G"/>
    <s v="RG"/>
    <s v="left"/>
  </r>
  <r>
    <m/>
    <x v="1"/>
    <s v="Control 4"/>
    <s v="LapChol Case 0007 02"/>
    <n v="110"/>
    <n v="1"/>
    <x v="1"/>
    <x v="3"/>
    <m/>
    <s v="G"/>
    <s v="RG"/>
    <s v="left"/>
  </r>
  <r>
    <m/>
    <x v="1"/>
    <m/>
    <m/>
    <n v="110"/>
    <n v="2"/>
    <x v="2"/>
    <x v="3"/>
    <m/>
    <s v="Suction"/>
    <s v="other"/>
    <s v="right"/>
  </r>
  <r>
    <m/>
    <x v="1"/>
    <s v="Control 4"/>
    <s v="LapChol Case 0007 02"/>
    <n v="130"/>
    <n v="1"/>
    <x v="3"/>
    <x v="2"/>
    <m/>
    <s v="G"/>
    <m/>
    <s v="left"/>
  </r>
  <r>
    <m/>
    <x v="1"/>
    <m/>
    <m/>
    <n v="130"/>
    <n v="2"/>
    <x v="1"/>
    <x v="3"/>
    <m/>
    <s v="Suction"/>
    <s v="other"/>
    <s v="right"/>
  </r>
  <r>
    <m/>
    <x v="1"/>
    <s v="Control 4"/>
    <s v="LapChol Case 0007 02"/>
    <n v="140"/>
    <n v="1"/>
    <x v="1"/>
    <x v="3"/>
    <m/>
    <s v="G"/>
    <s v="RG"/>
    <s v="left"/>
  </r>
  <r>
    <m/>
    <x v="1"/>
    <s v="Control 4"/>
    <s v="LapChol Case 0007 02"/>
    <n v="150"/>
    <n v="1"/>
    <x v="1"/>
    <x v="3"/>
    <m/>
    <s v="G"/>
    <s v="RG"/>
    <s v="left"/>
  </r>
  <r>
    <m/>
    <x v="1"/>
    <m/>
    <m/>
    <n v="150"/>
    <n v="2"/>
    <x v="3"/>
    <x v="2"/>
    <m/>
    <s v="cautery"/>
    <m/>
    <s v="right"/>
  </r>
  <r>
    <m/>
    <x v="1"/>
    <s v="Control 4"/>
    <s v="LapChol Case 0007 02"/>
    <n v="160"/>
    <n v="1"/>
    <x v="1"/>
    <x v="3"/>
    <m/>
    <s v="cautery"/>
    <s v="energy-sharp dissection"/>
    <s v="right"/>
  </r>
  <r>
    <m/>
    <x v="1"/>
    <m/>
    <m/>
    <n v="160"/>
    <n v="2"/>
    <x v="2"/>
    <x v="3"/>
    <m/>
    <s v="G"/>
    <s v="RG"/>
    <s v="left"/>
  </r>
  <r>
    <m/>
    <x v="1"/>
    <s v="Control 4"/>
    <s v="LapChol Case 0007 02"/>
    <n v="190"/>
    <n v="1"/>
    <x v="1"/>
    <x v="3"/>
    <m/>
    <s v="cautery"/>
    <s v="energy-sharp dissection"/>
    <s v="right"/>
  </r>
  <r>
    <m/>
    <x v="1"/>
    <m/>
    <m/>
    <n v="190"/>
    <n v="2"/>
    <x v="2"/>
    <x v="3"/>
    <m/>
    <s v="G"/>
    <s v="RG"/>
    <s v="left"/>
  </r>
  <r>
    <m/>
    <x v="1"/>
    <s v="Control 4"/>
    <s v="LapChol Case 0007 02"/>
    <n v="240"/>
    <n v="1"/>
    <x v="1"/>
    <x v="3"/>
    <m/>
    <s v="G"/>
    <s v="RG"/>
    <s v="left"/>
  </r>
  <r>
    <m/>
    <x v="1"/>
    <m/>
    <m/>
    <n v="240"/>
    <n v="2"/>
    <x v="2"/>
    <x v="3"/>
    <m/>
    <s v="Suction"/>
    <s v="blunt dissection"/>
    <s v="right"/>
  </r>
  <r>
    <m/>
    <x v="1"/>
    <s v="Control 4"/>
    <s v="LapChol Case 0007 02"/>
    <n v="290"/>
    <n v="1"/>
    <x v="2"/>
    <x v="3"/>
    <m/>
    <s v="G"/>
    <s v="RG"/>
    <s v="left"/>
  </r>
  <r>
    <m/>
    <x v="1"/>
    <m/>
    <m/>
    <n v="290"/>
    <n v="2"/>
    <x v="2"/>
    <x v="3"/>
    <m/>
    <s v="G2"/>
    <s v="RG"/>
    <s v="left"/>
  </r>
  <r>
    <m/>
    <x v="1"/>
    <m/>
    <m/>
    <n v="290"/>
    <n v="3"/>
    <x v="1"/>
    <x v="3"/>
    <m/>
    <s v="Suction"/>
    <s v="other"/>
    <s v="right"/>
  </r>
  <r>
    <m/>
    <x v="1"/>
    <s v="Control 4"/>
    <s v="LapChol Case 0007 02"/>
    <n v="330"/>
    <n v="1"/>
    <x v="2"/>
    <x v="3"/>
    <m/>
    <s v="Suction"/>
    <s v="other"/>
    <s v="right"/>
  </r>
  <r>
    <m/>
    <x v="1"/>
    <m/>
    <m/>
    <n v="330"/>
    <n v="2"/>
    <x v="1"/>
    <x v="3"/>
    <m/>
    <s v="G"/>
    <s v="other"/>
    <s v="left"/>
  </r>
  <r>
    <m/>
    <x v="1"/>
    <s v="Control 4"/>
    <s v="LapChol Case 0007 03"/>
    <n v="40"/>
    <n v="1"/>
    <x v="1"/>
    <x v="3"/>
    <m/>
    <s v="cautery"/>
    <s v="energy-sharp dissection"/>
    <s v="right"/>
  </r>
  <r>
    <m/>
    <x v="1"/>
    <s v="Control 4"/>
    <s v="LapChol Case 0007 03"/>
    <n v="50"/>
    <n v="1"/>
    <x v="1"/>
    <x v="3"/>
    <m/>
    <s v="cautery"/>
    <s v="energy-sharp dissection"/>
    <s v="right"/>
  </r>
  <r>
    <m/>
    <x v="1"/>
    <s v="Control 4"/>
    <s v="LapChol Case 0007 03"/>
    <n v="70"/>
    <n v="1"/>
    <x v="1"/>
    <x v="3"/>
    <m/>
    <s v="cautery"/>
    <s v="other"/>
    <s v="right"/>
  </r>
  <r>
    <m/>
    <x v="1"/>
    <s v="Control 4"/>
    <s v="LapChol Case 0007 03"/>
    <n v="80"/>
    <n v="1"/>
    <x v="1"/>
    <x v="3"/>
    <m/>
    <s v="cautery"/>
    <s v="energy-sharp dissection"/>
    <s v="right"/>
  </r>
  <r>
    <m/>
    <x v="1"/>
    <s v="Control 4"/>
    <s v="LapChol Case 0007 03"/>
    <n v="90"/>
    <n v="1"/>
    <x v="1"/>
    <x v="3"/>
    <m/>
    <s v="cautery"/>
    <s v="energy-sharp dissection"/>
    <s v="right"/>
  </r>
  <r>
    <m/>
    <x v="1"/>
    <s v="Control 4"/>
    <s v="LapChol Case 0007 03"/>
    <n v="230"/>
    <n v="1"/>
    <x v="1"/>
    <x v="3"/>
    <m/>
    <s v="G"/>
    <s v="RG"/>
    <s v="left"/>
  </r>
  <r>
    <m/>
    <x v="1"/>
    <s v="Control 4"/>
    <s v="LapChol Case 0007 03"/>
    <n v="310"/>
    <n v="1"/>
    <x v="4"/>
    <x v="2"/>
    <m/>
    <s v="cautery"/>
    <m/>
    <s v="right"/>
  </r>
  <r>
    <m/>
    <x v="1"/>
    <m/>
    <m/>
    <n v="310"/>
    <n v="2"/>
    <x v="2"/>
    <x v="3"/>
    <m/>
    <s v="G"/>
    <s v="RG"/>
    <s v="left"/>
  </r>
  <r>
    <m/>
    <x v="1"/>
    <s v="Control 6"/>
    <s v="LapChol Case 0011 02"/>
    <n v="0"/>
    <n v="1"/>
    <x v="1"/>
    <x v="3"/>
    <m/>
    <s v="G"/>
    <s v="RG"/>
    <s v="left"/>
  </r>
  <r>
    <m/>
    <x v="1"/>
    <m/>
    <m/>
    <n v="0"/>
    <n v="2"/>
    <x v="1"/>
    <x v="3"/>
    <m/>
    <s v="G2"/>
    <s v="RG"/>
    <s v="left"/>
  </r>
  <r>
    <m/>
    <x v="1"/>
    <m/>
    <m/>
    <n v="0"/>
    <n v="3"/>
    <x v="1"/>
    <x v="3"/>
    <m/>
    <s v="cautery"/>
    <s v="energy-sharp dissection"/>
    <s v="right"/>
  </r>
  <r>
    <m/>
    <x v="1"/>
    <s v="Control 6"/>
    <s v="LapChol Case 0011 02"/>
    <n v="10"/>
    <n v="1"/>
    <x v="1"/>
    <x v="3"/>
    <m/>
    <s v="G"/>
    <s v="RG"/>
    <s v="left"/>
  </r>
  <r>
    <m/>
    <x v="1"/>
    <m/>
    <m/>
    <n v="10"/>
    <n v="2"/>
    <x v="4"/>
    <x v="2"/>
    <m/>
    <s v="G2"/>
    <m/>
    <s v="left"/>
  </r>
  <r>
    <m/>
    <x v="1"/>
    <m/>
    <m/>
    <n v="10"/>
    <n v="3"/>
    <x v="3"/>
    <x v="2"/>
    <m/>
    <s v="cautery"/>
    <m/>
    <s v="right"/>
  </r>
  <r>
    <m/>
    <x v="1"/>
    <s v="Control 6"/>
    <s v="LapChol Case 0011 02"/>
    <n v="20"/>
    <n v="1"/>
    <x v="1"/>
    <x v="3"/>
    <m/>
    <s v="G"/>
    <s v="RG"/>
    <s v="left"/>
  </r>
  <r>
    <m/>
    <x v="1"/>
    <m/>
    <m/>
    <n v="20"/>
    <n v="2"/>
    <x v="3"/>
    <x v="2"/>
    <m/>
    <s v="G2"/>
    <m/>
    <s v="left"/>
  </r>
  <r>
    <m/>
    <x v="1"/>
    <m/>
    <m/>
    <n v="20"/>
    <n v="3"/>
    <x v="2"/>
    <x v="3"/>
    <m/>
    <s v="cautery"/>
    <s v="energy-sharp dissection"/>
    <s v="right"/>
  </r>
  <r>
    <m/>
    <x v="1"/>
    <s v="Control 6"/>
    <s v="LapChol Case 0011 02"/>
    <n v="30"/>
    <n v="1"/>
    <x v="3"/>
    <x v="2"/>
    <m/>
    <s v="G"/>
    <m/>
    <s v="left"/>
  </r>
  <r>
    <m/>
    <x v="1"/>
    <m/>
    <m/>
    <n v="30"/>
    <n v="2"/>
    <x v="1"/>
    <x v="3"/>
    <m/>
    <s v="cautery"/>
    <m/>
    <s v="right"/>
  </r>
  <r>
    <m/>
    <x v="1"/>
    <s v="Control 6"/>
    <s v="LapChol Case 0011 02"/>
    <n v="40"/>
    <n v="1"/>
    <x v="2"/>
    <x v="3"/>
    <m/>
    <s v="G"/>
    <s v="RG"/>
    <s v="left"/>
  </r>
  <r>
    <m/>
    <x v="1"/>
    <m/>
    <m/>
    <n v="40"/>
    <n v="2"/>
    <x v="2"/>
    <x v="3"/>
    <m/>
    <s v="G2"/>
    <s v="RG"/>
    <s v="left"/>
  </r>
  <r>
    <m/>
    <x v="1"/>
    <m/>
    <m/>
    <n v="40"/>
    <n v="3"/>
    <x v="4"/>
    <x v="2"/>
    <m/>
    <s v="cautery"/>
    <m/>
    <s v="right"/>
  </r>
  <r>
    <m/>
    <x v="1"/>
    <s v="Control 6"/>
    <s v="LapChol Case 0011 02"/>
    <n v="50"/>
    <n v="1"/>
    <x v="2"/>
    <x v="3"/>
    <m/>
    <s v="G"/>
    <s v="RG"/>
    <s v="left"/>
  </r>
  <r>
    <m/>
    <x v="1"/>
    <m/>
    <m/>
    <n v="50"/>
    <n v="2"/>
    <x v="1"/>
    <x v="3"/>
    <m/>
    <s v="cautery"/>
    <s v="energy-sharp dissection"/>
    <s v="right"/>
  </r>
  <r>
    <m/>
    <x v="1"/>
    <s v="Control 6"/>
    <s v="LapChol Case 0011 02"/>
    <n v="60"/>
    <n v="1"/>
    <x v="4"/>
    <x v="2"/>
    <m/>
    <s v="cautery"/>
    <m/>
    <s v="right"/>
  </r>
  <r>
    <m/>
    <x v="1"/>
    <s v="Control 6"/>
    <s v="LapChol Case 0011 02"/>
    <n v="70"/>
    <n v="1"/>
    <x v="1"/>
    <x v="3"/>
    <m/>
    <s v="cautery"/>
    <s v="energy-sharp dissection"/>
    <s v="right"/>
  </r>
  <r>
    <m/>
    <x v="1"/>
    <s v="Control 6"/>
    <s v="LapChol Case 0011 02"/>
    <n v="80"/>
    <n v="1"/>
    <x v="1"/>
    <x v="3"/>
    <m/>
    <s v="cautery"/>
    <s v="energy-sharp dissection"/>
    <s v="right"/>
  </r>
  <r>
    <m/>
    <x v="1"/>
    <s v="Control 6"/>
    <s v="LapChol Case 0011 02"/>
    <n v="90"/>
    <n v="1"/>
    <x v="4"/>
    <x v="2"/>
    <m/>
    <s v="cautery"/>
    <m/>
    <s v="right"/>
  </r>
  <r>
    <m/>
    <x v="1"/>
    <s v="Control 6"/>
    <s v="LapChol Case 0011 02"/>
    <n v="100"/>
    <n v="1"/>
    <x v="1"/>
    <x v="3"/>
    <m/>
    <s v="cautery"/>
    <s v="energy-sharp dissection"/>
    <s v="right"/>
  </r>
  <r>
    <m/>
    <x v="1"/>
    <m/>
    <m/>
    <n v="100"/>
    <n v="2"/>
    <x v="1"/>
    <x v="3"/>
    <m/>
    <s v="G"/>
    <s v="RG"/>
    <s v="left"/>
  </r>
  <r>
    <m/>
    <x v="1"/>
    <s v="Control 6"/>
    <s v="LapChol Case 0011 02"/>
    <n v="110"/>
    <n v="1"/>
    <x v="1"/>
    <x v="3"/>
    <m/>
    <s v="cautery"/>
    <s v="energy-sharp dissection"/>
    <s v="right"/>
  </r>
  <r>
    <m/>
    <x v="1"/>
    <m/>
    <m/>
    <n v="110"/>
    <n v="2"/>
    <x v="2"/>
    <x v="3"/>
    <m/>
    <s v="G"/>
    <s v="RG"/>
    <s v="left"/>
  </r>
  <r>
    <m/>
    <x v="1"/>
    <s v="Control 6"/>
    <s v="LapChol Case 0011 02"/>
    <n v="120"/>
    <n v="1"/>
    <x v="4"/>
    <x v="2"/>
    <m/>
    <s v="cautery"/>
    <m/>
    <s v="right"/>
  </r>
  <r>
    <m/>
    <x v="1"/>
    <s v="Control 6"/>
    <s v="LapChol Case 0011 02"/>
    <n v="130"/>
    <n v="1"/>
    <x v="1"/>
    <x v="3"/>
    <m/>
    <s v="cautery"/>
    <s v="energy-sharp dissection"/>
    <s v="right"/>
  </r>
  <r>
    <m/>
    <x v="1"/>
    <s v="Control 6"/>
    <s v="LapChol Case 0011 02"/>
    <n v="140"/>
    <n v="1"/>
    <x v="1"/>
    <x v="3"/>
    <m/>
    <s v="cautery"/>
    <s v="energy-sharp dissection"/>
    <s v="right"/>
  </r>
  <r>
    <m/>
    <x v="1"/>
    <s v="Control 6"/>
    <s v="LapChol Case 0011 02"/>
    <n v="150"/>
    <n v="1"/>
    <x v="4"/>
    <x v="2"/>
    <m/>
    <s v="cautery"/>
    <m/>
    <s v="right"/>
  </r>
  <r>
    <m/>
    <x v="1"/>
    <m/>
    <m/>
    <n v="150"/>
    <n v="2"/>
    <x v="1"/>
    <x v="3"/>
    <m/>
    <s v="G"/>
    <s v="RG"/>
    <s v="left"/>
  </r>
  <r>
    <m/>
    <x v="1"/>
    <s v="Control 6"/>
    <s v="LapChol Case 0011 02"/>
    <n v="170"/>
    <n v="1"/>
    <x v="1"/>
    <x v="3"/>
    <m/>
    <s v="cautery"/>
    <s v="energy-sharp dissection"/>
    <s v="right"/>
  </r>
  <r>
    <m/>
    <x v="1"/>
    <s v="Control 6"/>
    <s v="LapChol Case 0011 02"/>
    <n v="180"/>
    <n v="1"/>
    <x v="1"/>
    <x v="3"/>
    <m/>
    <s v="cautery"/>
    <s v="energy-sharp dissection"/>
    <s v="right"/>
  </r>
  <r>
    <m/>
    <x v="1"/>
    <m/>
    <m/>
    <n v="180"/>
    <n v="2"/>
    <x v="2"/>
    <x v="3"/>
    <m/>
    <s v="G"/>
    <s v="RG"/>
    <s v="left"/>
  </r>
  <r>
    <m/>
    <x v="1"/>
    <s v="Control 6"/>
    <s v="LapChol Case 0011 02"/>
    <n v="190"/>
    <n v="1"/>
    <x v="1"/>
    <x v="3"/>
    <m/>
    <s v="cautery"/>
    <s v="energy-sharp dissection"/>
    <s v="right"/>
  </r>
  <r>
    <m/>
    <x v="1"/>
    <s v="Control 6"/>
    <s v="LapChol Case 0011 02"/>
    <n v="200"/>
    <n v="1"/>
    <x v="1"/>
    <x v="3"/>
    <m/>
    <s v="cautery"/>
    <s v="energy-sharp dissection"/>
    <s v="right"/>
  </r>
  <r>
    <m/>
    <x v="1"/>
    <s v="Control 6"/>
    <s v="LapChol Case 0011 02"/>
    <n v="210"/>
    <n v="1"/>
    <x v="1"/>
    <x v="3"/>
    <m/>
    <s v="cautery"/>
    <s v="energy-sharp dissection"/>
    <s v="right"/>
  </r>
  <r>
    <m/>
    <x v="1"/>
    <m/>
    <m/>
    <n v="210"/>
    <n v="2"/>
    <x v="2"/>
    <x v="3"/>
    <m/>
    <s v="G"/>
    <s v="RG"/>
    <s v="left"/>
  </r>
  <r>
    <m/>
    <x v="1"/>
    <s v="Control 6"/>
    <s v="LapChol Case 0011 02"/>
    <n v="220"/>
    <n v="1"/>
    <x v="1"/>
    <x v="3"/>
    <m/>
    <s v="G"/>
    <s v="RG"/>
    <s v="left"/>
  </r>
  <r>
    <m/>
    <x v="1"/>
    <m/>
    <m/>
    <n v="220"/>
    <n v="2"/>
    <x v="3"/>
    <x v="2"/>
    <m/>
    <s v="cautery"/>
    <m/>
    <s v="right"/>
  </r>
  <r>
    <m/>
    <x v="1"/>
    <s v="Control 6"/>
    <s v="LapChol Case 0011 02"/>
    <n v="240"/>
    <n v="1"/>
    <x v="1"/>
    <x v="3"/>
    <m/>
    <s v="G"/>
    <s v="RG"/>
    <s v="left"/>
  </r>
  <r>
    <m/>
    <x v="1"/>
    <m/>
    <m/>
    <n v="240"/>
    <n v="2"/>
    <x v="1"/>
    <x v="3"/>
    <m/>
    <s v="cautery"/>
    <s v="other"/>
    <s v="right"/>
  </r>
  <r>
    <m/>
    <x v="1"/>
    <s v="Control 6"/>
    <s v="LapChol Case 0011 02"/>
    <n v="250"/>
    <n v="1"/>
    <x v="1"/>
    <x v="3"/>
    <m/>
    <s v="G"/>
    <s v="RG"/>
    <s v="left"/>
  </r>
  <r>
    <m/>
    <x v="1"/>
    <m/>
    <m/>
    <n v="250"/>
    <n v="2"/>
    <x v="2"/>
    <x v="3"/>
    <m/>
    <s v="cautery"/>
    <s v="energy-sharp dissection"/>
    <s v="right"/>
  </r>
  <r>
    <m/>
    <x v="1"/>
    <s v="Control 6"/>
    <s v="LapChol Case 0011 02"/>
    <n v="260"/>
    <n v="1"/>
    <x v="1"/>
    <x v="3"/>
    <m/>
    <s v="G"/>
    <s v="RG"/>
    <s v="left"/>
  </r>
  <r>
    <m/>
    <x v="1"/>
    <m/>
    <m/>
    <n v="260"/>
    <n v="2"/>
    <x v="1"/>
    <x v="3"/>
    <m/>
    <s v="cautery"/>
    <s v="energy-sharp dissection"/>
    <s v="right"/>
  </r>
  <r>
    <m/>
    <x v="1"/>
    <s v="Control 6"/>
    <s v="LapChol Case 0011 02"/>
    <n v="270"/>
    <n v="1"/>
    <x v="1"/>
    <x v="3"/>
    <m/>
    <s v="G"/>
    <s v="RG"/>
    <s v="left"/>
  </r>
  <r>
    <m/>
    <x v="1"/>
    <m/>
    <m/>
    <n v="270"/>
    <n v="2"/>
    <x v="3"/>
    <x v="2"/>
    <m/>
    <s v="cautery"/>
    <m/>
    <s v="right"/>
  </r>
  <r>
    <m/>
    <x v="1"/>
    <s v="Control 6"/>
    <s v="LapChol Case 0011 02"/>
    <n v="280"/>
    <n v="1"/>
    <x v="1"/>
    <x v="3"/>
    <m/>
    <s v="G"/>
    <s v="RG"/>
    <s v="left"/>
  </r>
  <r>
    <m/>
    <x v="1"/>
    <m/>
    <m/>
    <n v="280"/>
    <n v="2"/>
    <x v="1"/>
    <x v="3"/>
    <m/>
    <s v="G2"/>
    <s v="other"/>
    <s v="left"/>
  </r>
  <r>
    <m/>
    <x v="1"/>
    <s v="Control 6"/>
    <s v="LapChol Case 0011 02"/>
    <n v="290"/>
    <n v="1"/>
    <x v="1"/>
    <x v="3"/>
    <m/>
    <s v="G"/>
    <s v="RG"/>
    <s v="left"/>
  </r>
  <r>
    <m/>
    <x v="1"/>
    <m/>
    <m/>
    <n v="290"/>
    <n v="2"/>
    <x v="1"/>
    <x v="3"/>
    <m/>
    <s v="G2"/>
    <s v="RG"/>
    <s v="left"/>
  </r>
  <r>
    <m/>
    <x v="1"/>
    <m/>
    <m/>
    <n v="290"/>
    <n v="3"/>
    <x v="3"/>
    <x v="2"/>
    <m/>
    <s v="cautery"/>
    <m/>
    <s v="right"/>
  </r>
  <r>
    <m/>
    <x v="1"/>
    <s v="Control 6"/>
    <s v="LapChol Case 0011 02"/>
    <n v="300"/>
    <n v="1"/>
    <x v="1"/>
    <x v="3"/>
    <m/>
    <s v="G"/>
    <s v="RG"/>
    <s v="left"/>
  </r>
  <r>
    <m/>
    <x v="1"/>
    <m/>
    <m/>
    <n v="300"/>
    <n v="2"/>
    <x v="1"/>
    <x v="3"/>
    <m/>
    <s v="G2"/>
    <s v="RG"/>
    <s v="left"/>
  </r>
  <r>
    <m/>
    <x v="1"/>
    <m/>
    <m/>
    <n v="300"/>
    <n v="3"/>
    <x v="3"/>
    <x v="2"/>
    <m/>
    <s v="cautery"/>
    <m/>
    <s v="right"/>
  </r>
  <r>
    <m/>
    <x v="1"/>
    <s v="Control 6"/>
    <s v="LapChol Case 0011 02"/>
    <n v="310"/>
    <n v="1"/>
    <x v="1"/>
    <x v="3"/>
    <m/>
    <s v="G"/>
    <s v="RG"/>
    <s v="left"/>
  </r>
  <r>
    <m/>
    <x v="1"/>
    <m/>
    <m/>
    <n v="310"/>
    <n v="2"/>
    <x v="1"/>
    <x v="3"/>
    <m/>
    <s v="G2"/>
    <s v="RG"/>
    <s v="left"/>
  </r>
  <r>
    <m/>
    <x v="1"/>
    <m/>
    <m/>
    <n v="310"/>
    <n v="3"/>
    <x v="1"/>
    <x v="3"/>
    <m/>
    <s v="cautery"/>
    <s v="energy-sharp dissection"/>
    <s v="right"/>
  </r>
  <r>
    <m/>
    <x v="1"/>
    <s v="Control 6"/>
    <s v="LapChol Case 0011 02"/>
    <n v="320"/>
    <n v="1"/>
    <x v="1"/>
    <x v="3"/>
    <m/>
    <s v="G"/>
    <s v="RG"/>
    <s v="left"/>
  </r>
  <r>
    <m/>
    <x v="1"/>
    <m/>
    <m/>
    <n v="320"/>
    <n v="2"/>
    <x v="1"/>
    <x v="3"/>
    <m/>
    <s v="G2"/>
    <s v="RG"/>
    <s v="left"/>
  </r>
  <r>
    <m/>
    <x v="1"/>
    <m/>
    <m/>
    <n v="320"/>
    <n v="3"/>
    <x v="1"/>
    <x v="3"/>
    <m/>
    <s v="cautery"/>
    <s v="energy-sharp dissection"/>
    <s v="right"/>
  </r>
  <r>
    <m/>
    <x v="1"/>
    <s v="Control 6"/>
    <s v="LapChol Case 0011 02"/>
    <n v="330"/>
    <n v="1"/>
    <x v="1"/>
    <x v="3"/>
    <m/>
    <s v="G"/>
    <s v="RG"/>
    <s v="left"/>
  </r>
  <r>
    <m/>
    <x v="1"/>
    <m/>
    <m/>
    <n v="330"/>
    <n v="2"/>
    <x v="1"/>
    <x v="3"/>
    <m/>
    <s v="G"/>
    <s v="RG"/>
    <s v="left"/>
  </r>
  <r>
    <m/>
    <x v="1"/>
    <m/>
    <m/>
    <n v="330"/>
    <n v="3"/>
    <x v="1"/>
    <x v="3"/>
    <m/>
    <s v="cautery"/>
    <s v="energy-sharp dissection"/>
    <s v="right"/>
  </r>
  <r>
    <m/>
    <x v="1"/>
    <s v="Control 6"/>
    <s v="LapChol Case 0011 03"/>
    <n v="0"/>
    <n v="1"/>
    <x v="1"/>
    <x v="3"/>
    <m/>
    <s v="G"/>
    <s v="RG"/>
    <s v="left"/>
  </r>
  <r>
    <m/>
    <x v="1"/>
    <m/>
    <m/>
    <n v="0"/>
    <n v="2"/>
    <x v="1"/>
    <x v="3"/>
    <m/>
    <s v="G2"/>
    <s v="RG"/>
    <s v="left"/>
  </r>
  <r>
    <m/>
    <x v="1"/>
    <m/>
    <m/>
    <n v="0"/>
    <n v="3"/>
    <x v="1"/>
    <x v="3"/>
    <m/>
    <s v="cautery"/>
    <s v="energy-sharp dissection"/>
    <s v="right"/>
  </r>
  <r>
    <m/>
    <x v="1"/>
    <s v="Control 6"/>
    <s v="LapChol Case 0011 03"/>
    <n v="10"/>
    <n v="1"/>
    <x v="1"/>
    <x v="3"/>
    <m/>
    <s v="G"/>
    <s v="RG"/>
    <s v="left"/>
  </r>
  <r>
    <m/>
    <x v="1"/>
    <m/>
    <m/>
    <n v="10"/>
    <n v="2"/>
    <x v="1"/>
    <x v="3"/>
    <m/>
    <s v="cautery"/>
    <s v="energy-sharp dissection"/>
    <s v="right"/>
  </r>
  <r>
    <m/>
    <x v="1"/>
    <m/>
    <m/>
    <n v="10"/>
    <n v="3"/>
    <x v="1"/>
    <x v="3"/>
    <m/>
    <s v="G2"/>
    <s v="RG"/>
    <s v="left"/>
  </r>
  <r>
    <m/>
    <x v="1"/>
    <s v="Control 6"/>
    <s v="LapChol Case 0011 03"/>
    <n v="20"/>
    <n v="1"/>
    <x v="1"/>
    <x v="3"/>
    <m/>
    <s v="G"/>
    <s v="RG"/>
    <s v="left"/>
  </r>
  <r>
    <m/>
    <x v="1"/>
    <m/>
    <m/>
    <n v="20"/>
    <n v="2"/>
    <x v="3"/>
    <x v="2"/>
    <m/>
    <s v="cautery"/>
    <m/>
    <s v="right"/>
  </r>
  <r>
    <m/>
    <x v="1"/>
    <s v="Control 6"/>
    <s v="LapChol Case 0011 03"/>
    <n v="30"/>
    <n v="1"/>
    <x v="1"/>
    <x v="3"/>
    <m/>
    <s v="G"/>
    <s v="RG"/>
    <s v="left"/>
  </r>
  <r>
    <m/>
    <x v="1"/>
    <m/>
    <m/>
    <n v="30"/>
    <n v="2"/>
    <x v="1"/>
    <x v="3"/>
    <m/>
    <s v="cautery"/>
    <s v="energy-sharp dissection"/>
    <s v="right"/>
  </r>
  <r>
    <m/>
    <x v="1"/>
    <m/>
    <m/>
    <n v="30"/>
    <n v="3"/>
    <x v="2"/>
    <x v="3"/>
    <m/>
    <s v="G2"/>
    <s v="RG"/>
    <s v="left"/>
  </r>
  <r>
    <m/>
    <x v="1"/>
    <s v="Control 6"/>
    <s v="LapChol Case 0011 03"/>
    <n v="40"/>
    <n v="1"/>
    <x v="1"/>
    <x v="3"/>
    <m/>
    <s v="G"/>
    <s v="RG"/>
    <s v="left"/>
  </r>
  <r>
    <m/>
    <x v="1"/>
    <m/>
    <m/>
    <n v="40"/>
    <n v="2"/>
    <x v="2"/>
    <x v="3"/>
    <m/>
    <s v="cautery"/>
    <s v="energy-sharp dissection"/>
    <s v="right"/>
  </r>
  <r>
    <m/>
    <x v="1"/>
    <m/>
    <m/>
    <n v="40"/>
    <n v="3"/>
    <x v="2"/>
    <x v="3"/>
    <m/>
    <s v="G2"/>
    <s v="RG"/>
    <s v="left"/>
  </r>
  <r>
    <m/>
    <x v="1"/>
    <s v="Control 6"/>
    <s v="LapChol Case 0011 03"/>
    <n v="50"/>
    <n v="1"/>
    <x v="1"/>
    <x v="3"/>
    <m/>
    <s v="G"/>
    <s v="RG"/>
    <s v="left"/>
  </r>
  <r>
    <m/>
    <x v="1"/>
    <m/>
    <m/>
    <n v="50"/>
    <n v="2"/>
    <x v="3"/>
    <x v="2"/>
    <m/>
    <s v="cautery"/>
    <m/>
    <s v="right"/>
  </r>
  <r>
    <m/>
    <x v="1"/>
    <m/>
    <m/>
    <n v="50"/>
    <n v="3"/>
    <x v="2"/>
    <x v="3"/>
    <m/>
    <s v="G2"/>
    <s v="RG"/>
    <s v="left"/>
  </r>
  <r>
    <m/>
    <x v="1"/>
    <s v="Control 6"/>
    <s v="LapChol Case 0011 03"/>
    <n v="60"/>
    <n v="1"/>
    <x v="1"/>
    <x v="3"/>
    <m/>
    <s v="G"/>
    <s v="RG"/>
    <s v="left"/>
  </r>
  <r>
    <m/>
    <x v="1"/>
    <m/>
    <m/>
    <n v="60"/>
    <n v="2"/>
    <x v="2"/>
    <x v="3"/>
    <m/>
    <s v="cautery"/>
    <s v="energy-sharp dissection"/>
    <s v="right"/>
  </r>
  <r>
    <m/>
    <x v="1"/>
    <s v="Control 6"/>
    <s v="LapChol Case 0011 03"/>
    <n v="70"/>
    <n v="1"/>
    <x v="1"/>
    <x v="3"/>
    <m/>
    <s v="G"/>
    <s v="RG"/>
    <s v="left"/>
  </r>
  <r>
    <m/>
    <x v="1"/>
    <m/>
    <m/>
    <n v="70"/>
    <n v="2"/>
    <x v="2"/>
    <x v="3"/>
    <m/>
    <s v="cautery"/>
    <s v="energy-sharp dissection"/>
    <s v="right"/>
  </r>
  <r>
    <m/>
    <x v="1"/>
    <s v="Control 6"/>
    <s v="LapChol Case 0011 03"/>
    <n v="80"/>
    <n v="1"/>
    <x v="1"/>
    <x v="3"/>
    <m/>
    <s v="G"/>
    <s v="RG"/>
    <s v="left"/>
  </r>
  <r>
    <m/>
    <x v="1"/>
    <m/>
    <m/>
    <n v="80"/>
    <n v="2"/>
    <x v="2"/>
    <x v="3"/>
    <m/>
    <s v="cautery"/>
    <s v="energy-sharp dissection"/>
    <s v="right"/>
  </r>
  <r>
    <m/>
    <x v="1"/>
    <s v="Control 6"/>
    <s v="LapChol Case 0011 03"/>
    <n v="90"/>
    <n v="1"/>
    <x v="1"/>
    <x v="3"/>
    <m/>
    <s v="G"/>
    <s v="RG"/>
    <s v="left"/>
  </r>
  <r>
    <m/>
    <x v="1"/>
    <m/>
    <m/>
    <n v="90"/>
    <n v="2"/>
    <x v="2"/>
    <x v="3"/>
    <m/>
    <s v="cautery"/>
    <s v="energy-sharp dissection"/>
    <s v="right"/>
  </r>
  <r>
    <m/>
    <x v="1"/>
    <s v="Control 6"/>
    <s v="LapChol Case 0011 03"/>
    <n v="100"/>
    <n v="1"/>
    <x v="1"/>
    <x v="3"/>
    <m/>
    <s v="cautery"/>
    <s v="energy-sharp dissection"/>
    <s v="right"/>
  </r>
  <r>
    <m/>
    <x v="1"/>
    <m/>
    <m/>
    <n v="100"/>
    <n v="2"/>
    <x v="3"/>
    <x v="2"/>
    <m/>
    <s v="G"/>
    <m/>
    <s v="left"/>
  </r>
  <r>
    <m/>
    <x v="1"/>
    <s v="Control 6"/>
    <s v="LapChol Case 0011 03"/>
    <n v="110"/>
    <n v="1"/>
    <x v="1"/>
    <x v="3"/>
    <m/>
    <s v="G"/>
    <s v="RG"/>
    <s v="left"/>
  </r>
  <r>
    <m/>
    <x v="1"/>
    <m/>
    <m/>
    <n v="110"/>
    <n v="2"/>
    <x v="1"/>
    <x v="3"/>
    <m/>
    <s v="cautery"/>
    <s v="energy-sharp dissection"/>
    <s v="right"/>
  </r>
  <r>
    <m/>
    <x v="1"/>
    <m/>
    <m/>
    <n v="110"/>
    <n v="3"/>
    <x v="2"/>
    <x v="3"/>
    <m/>
    <s v="G2"/>
    <s v="RG"/>
    <s v="left"/>
  </r>
  <r>
    <m/>
    <x v="1"/>
    <s v="Control 6"/>
    <s v="LapChol Case 0011 03"/>
    <n v="120"/>
    <n v="1"/>
    <x v="1"/>
    <x v="3"/>
    <m/>
    <s v="cautery"/>
    <s v="energy-sharp dissection"/>
    <s v="right"/>
  </r>
  <r>
    <m/>
    <x v="1"/>
    <m/>
    <m/>
    <n v="120"/>
    <n v="2"/>
    <x v="2"/>
    <x v="3"/>
    <m/>
    <s v="G"/>
    <s v="RG"/>
    <s v="left"/>
  </r>
  <r>
    <m/>
    <x v="1"/>
    <m/>
    <m/>
    <n v="120"/>
    <n v="3"/>
    <x v="2"/>
    <x v="3"/>
    <m/>
    <s v="G2"/>
    <s v="RG"/>
    <s v="left"/>
  </r>
  <r>
    <m/>
    <x v="1"/>
    <s v="Control 6"/>
    <s v="LapChol Case 0011 03"/>
    <n v="130"/>
    <n v="1"/>
    <x v="1"/>
    <x v="3"/>
    <m/>
    <s v="G"/>
    <s v="RG"/>
    <s v="left"/>
  </r>
  <r>
    <m/>
    <x v="1"/>
    <m/>
    <m/>
    <n v="130"/>
    <n v="2"/>
    <x v="1"/>
    <x v="3"/>
    <m/>
    <s v="G2"/>
    <s v="RG"/>
    <s v="left"/>
  </r>
  <r>
    <m/>
    <x v="1"/>
    <m/>
    <m/>
    <n v="130"/>
    <n v="3"/>
    <x v="2"/>
    <x v="3"/>
    <m/>
    <s v="cautery"/>
    <s v="energy-sharp dissection"/>
    <s v="right"/>
  </r>
  <r>
    <m/>
    <x v="1"/>
    <s v="Control 6"/>
    <s v="LapChol Case 0011 03"/>
    <n v="140"/>
    <n v="1"/>
    <x v="1"/>
    <x v="3"/>
    <m/>
    <s v="cautery"/>
    <s v="energy-sharp dissection"/>
    <s v="right"/>
  </r>
  <r>
    <m/>
    <x v="1"/>
    <m/>
    <m/>
    <n v="140"/>
    <n v="2"/>
    <x v="1"/>
    <x v="3"/>
    <m/>
    <s v="G"/>
    <s v="RG"/>
    <s v="left"/>
  </r>
  <r>
    <m/>
    <x v="1"/>
    <s v="Control 6"/>
    <s v="LapChol Case 0011 03"/>
    <n v="150"/>
    <n v="1"/>
    <x v="1"/>
    <x v="3"/>
    <m/>
    <s v="cautery"/>
    <s v="energy-sharp dissection"/>
    <s v="right"/>
  </r>
  <r>
    <m/>
    <x v="1"/>
    <m/>
    <m/>
    <n v="150"/>
    <n v="2"/>
    <x v="2"/>
    <x v="3"/>
    <m/>
    <s v="G"/>
    <s v="RG"/>
    <s v="left"/>
  </r>
  <r>
    <m/>
    <x v="1"/>
    <s v="Control 6"/>
    <s v="LapChol Case 0011 03"/>
    <n v="160"/>
    <n v="1"/>
    <x v="1"/>
    <x v="3"/>
    <m/>
    <s v="G"/>
    <s v="RG"/>
    <s v="left"/>
  </r>
  <r>
    <m/>
    <x v="1"/>
    <m/>
    <m/>
    <n v="160"/>
    <n v="2"/>
    <x v="2"/>
    <x v="3"/>
    <m/>
    <s v="cautery"/>
    <s v="energy-sharp dissection"/>
    <s v="right"/>
  </r>
  <r>
    <m/>
    <x v="1"/>
    <s v="Control 6"/>
    <s v="LapChol Case 0011 03"/>
    <n v="170"/>
    <n v="1"/>
    <x v="1"/>
    <x v="3"/>
    <m/>
    <s v="G"/>
    <s v="RG"/>
    <s v="left"/>
  </r>
  <r>
    <m/>
    <x v="1"/>
    <m/>
    <m/>
    <n v="170"/>
    <n v="2"/>
    <x v="2"/>
    <x v="3"/>
    <m/>
    <s v="cautery"/>
    <s v="energy-sharp dissection"/>
    <s v="right"/>
  </r>
  <r>
    <m/>
    <x v="1"/>
    <s v="Control 6"/>
    <s v="LapChol Case 0011 03"/>
    <n v="180"/>
    <n v="1"/>
    <x v="1"/>
    <x v="3"/>
    <m/>
    <s v="cautery"/>
    <s v="energy-sharp dissection"/>
    <s v="right"/>
  </r>
  <r>
    <m/>
    <x v="1"/>
    <m/>
    <m/>
    <n v="180"/>
    <n v="2"/>
    <x v="2"/>
    <x v="3"/>
    <m/>
    <s v="G"/>
    <s v="RG"/>
    <s v="left"/>
  </r>
  <r>
    <m/>
    <x v="1"/>
    <s v="Control 6"/>
    <s v="LapChol Case 0011 03"/>
    <n v="200"/>
    <n v="1"/>
    <x v="1"/>
    <x v="3"/>
    <m/>
    <s v="G"/>
    <s v="RG"/>
    <s v="left"/>
  </r>
  <r>
    <m/>
    <x v="1"/>
    <m/>
    <m/>
    <n v="200"/>
    <n v="2"/>
    <x v="2"/>
    <x v="3"/>
    <m/>
    <s v="G2"/>
    <s v="RG"/>
    <s v="left"/>
  </r>
  <r>
    <m/>
    <x v="1"/>
    <m/>
    <m/>
    <n v="200"/>
    <n v="3"/>
    <x v="2"/>
    <x v="3"/>
    <m/>
    <s v="cautery"/>
    <s v="energy-sharp dissection"/>
    <s v="right"/>
  </r>
  <r>
    <m/>
    <x v="1"/>
    <s v="Control 6"/>
    <s v="LapChol Case 0011 03"/>
    <n v="210"/>
    <n v="1"/>
    <x v="1"/>
    <x v="3"/>
    <m/>
    <s v="G"/>
    <s v="RG"/>
    <s v="left"/>
  </r>
  <r>
    <m/>
    <x v="1"/>
    <m/>
    <m/>
    <n v="210"/>
    <n v="2"/>
    <x v="1"/>
    <x v="3"/>
    <m/>
    <s v="G2"/>
    <s v="RG"/>
    <s v="left"/>
  </r>
  <r>
    <m/>
    <x v="1"/>
    <m/>
    <m/>
    <n v="210"/>
    <n v="3"/>
    <x v="4"/>
    <x v="2"/>
    <m/>
    <s v="cautery"/>
    <m/>
    <s v="right"/>
  </r>
  <r>
    <m/>
    <x v="1"/>
    <s v="Control 6"/>
    <s v="LapChol Case 0011 03"/>
    <n v="220"/>
    <n v="1"/>
    <x v="1"/>
    <x v="3"/>
    <m/>
    <s v="G"/>
    <s v="RG"/>
    <s v="left"/>
  </r>
  <r>
    <m/>
    <x v="1"/>
    <m/>
    <m/>
    <n v="220"/>
    <n v="2"/>
    <x v="2"/>
    <x v="3"/>
    <m/>
    <s v="G2"/>
    <s v="RG"/>
    <s v="left"/>
  </r>
  <r>
    <m/>
    <x v="1"/>
    <m/>
    <m/>
    <n v="220"/>
    <n v="3"/>
    <x v="1"/>
    <x v="3"/>
    <m/>
    <s v="dissector"/>
    <s v="blunt dissection"/>
    <s v="right"/>
  </r>
  <r>
    <m/>
    <x v="1"/>
    <s v="Control 6"/>
    <s v="LapChol Case 0011 03"/>
    <n v="230"/>
    <n v="1"/>
    <x v="1"/>
    <x v="3"/>
    <m/>
    <s v="G"/>
    <s v="RG"/>
    <s v="left"/>
  </r>
  <r>
    <m/>
    <x v="1"/>
    <m/>
    <m/>
    <n v="230"/>
    <n v="2"/>
    <x v="1"/>
    <x v="3"/>
    <m/>
    <s v="G2"/>
    <s v="RG"/>
    <s v="left"/>
  </r>
  <r>
    <m/>
    <x v="1"/>
    <m/>
    <m/>
    <n v="230"/>
    <n v="3"/>
    <x v="1"/>
    <x v="3"/>
    <m/>
    <s v="dissector"/>
    <s v="blunt dissection"/>
    <s v="right"/>
  </r>
  <r>
    <m/>
    <x v="1"/>
    <s v="Control 6"/>
    <s v="LapChol Case 0011 03"/>
    <n v="240"/>
    <n v="1"/>
    <x v="1"/>
    <x v="3"/>
    <m/>
    <s v="G"/>
    <s v="RG"/>
    <s v="left"/>
  </r>
  <r>
    <m/>
    <x v="1"/>
    <m/>
    <m/>
    <n v="240"/>
    <n v="2"/>
    <x v="1"/>
    <x v="3"/>
    <m/>
    <s v="G2"/>
    <s v="RG"/>
    <s v="left"/>
  </r>
  <r>
    <m/>
    <x v="1"/>
    <s v="Control 6"/>
    <s v="LapChol Case 0011 03"/>
    <n v="250"/>
    <n v="1"/>
    <x v="1"/>
    <x v="3"/>
    <m/>
    <s v="G"/>
    <s v="RG"/>
    <s v="left"/>
  </r>
  <r>
    <m/>
    <x v="1"/>
    <m/>
    <m/>
    <n v="250"/>
    <n v="2"/>
    <x v="1"/>
    <x v="3"/>
    <m/>
    <s v="G2"/>
    <s v="RG"/>
    <s v="left"/>
  </r>
  <r>
    <m/>
    <x v="1"/>
    <m/>
    <m/>
    <n v="250"/>
    <n v="3"/>
    <x v="1"/>
    <x v="3"/>
    <m/>
    <s v="Suction"/>
    <s v="suction"/>
    <s v="right"/>
  </r>
  <r>
    <m/>
    <x v="1"/>
    <s v="Control 6"/>
    <s v="LapChol Case 0011 03"/>
    <n v="260"/>
    <n v="1"/>
    <x v="1"/>
    <x v="3"/>
    <m/>
    <s v="G"/>
    <s v="RG"/>
    <s v="left"/>
  </r>
  <r>
    <m/>
    <x v="1"/>
    <m/>
    <m/>
    <n v="260"/>
    <n v="2"/>
    <x v="3"/>
    <x v="2"/>
    <m/>
    <s v="Suction"/>
    <m/>
    <s v="right"/>
  </r>
  <r>
    <m/>
    <x v="1"/>
    <s v="Control 6"/>
    <s v="LapChol Case 0011 03"/>
    <n v="270"/>
    <n v="1"/>
    <x v="1"/>
    <x v="3"/>
    <m/>
    <s v="G"/>
    <s v="RG"/>
    <s v="left"/>
  </r>
  <r>
    <m/>
    <x v="1"/>
    <m/>
    <m/>
    <n v="270"/>
    <n v="2"/>
    <x v="3"/>
    <x v="2"/>
    <m/>
    <s v="Suction"/>
    <m/>
    <s v="right"/>
  </r>
  <r>
    <m/>
    <x v="1"/>
    <s v="Control 6"/>
    <s v="LapChol Case 0011 03"/>
    <n v="280"/>
    <n v="1"/>
    <x v="1"/>
    <x v="3"/>
    <m/>
    <s v="G"/>
    <s v="RG"/>
    <s v="left"/>
  </r>
  <r>
    <m/>
    <x v="1"/>
    <m/>
    <m/>
    <n v="280"/>
    <n v="2"/>
    <x v="1"/>
    <x v="3"/>
    <m/>
    <s v="G2"/>
    <s v="RG"/>
    <s v="left"/>
  </r>
  <r>
    <m/>
    <x v="1"/>
    <s v="Control 6"/>
    <s v="LapChol Case 0011 03"/>
    <n v="290"/>
    <n v="1"/>
    <x v="1"/>
    <x v="3"/>
    <m/>
    <s v="G"/>
    <s v="RG"/>
    <s v="left"/>
  </r>
  <r>
    <m/>
    <x v="1"/>
    <m/>
    <m/>
    <n v="290"/>
    <n v="2"/>
    <x v="1"/>
    <x v="3"/>
    <m/>
    <s v="G2"/>
    <s v="RG"/>
    <s v="left"/>
  </r>
  <r>
    <m/>
    <x v="1"/>
    <m/>
    <m/>
    <n v="290"/>
    <n v="3"/>
    <x v="2"/>
    <x v="3"/>
    <m/>
    <s v="cautery"/>
    <s v="energy-sharp dissection"/>
    <s v="right"/>
  </r>
  <r>
    <m/>
    <x v="1"/>
    <s v="Control 6"/>
    <s v="LapChol Case 0011 03"/>
    <n v="300"/>
    <n v="1"/>
    <x v="1"/>
    <x v="3"/>
    <m/>
    <s v="G"/>
    <s v="RG"/>
    <s v="left"/>
  </r>
  <r>
    <m/>
    <x v="1"/>
    <m/>
    <m/>
    <n v="300"/>
    <n v="2"/>
    <x v="1"/>
    <x v="3"/>
    <m/>
    <s v="G2"/>
    <s v="RG"/>
    <s v="left"/>
  </r>
  <r>
    <m/>
    <x v="1"/>
    <m/>
    <m/>
    <n v="300"/>
    <n v="3"/>
    <x v="2"/>
    <x v="3"/>
    <m/>
    <s v="cautery"/>
    <s v="energy-sharp dissection"/>
    <s v="right"/>
  </r>
  <r>
    <m/>
    <x v="1"/>
    <s v="Control 6"/>
    <s v="LapChol Case 0011 03"/>
    <n v="310"/>
    <n v="1"/>
    <x v="1"/>
    <x v="3"/>
    <m/>
    <s v="G"/>
    <s v="RG"/>
    <s v="left"/>
  </r>
  <r>
    <m/>
    <x v="1"/>
    <m/>
    <m/>
    <n v="310"/>
    <n v="2"/>
    <x v="2"/>
    <x v="3"/>
    <m/>
    <s v="G2"/>
    <s v="RG"/>
    <s v="left"/>
  </r>
  <r>
    <m/>
    <x v="1"/>
    <m/>
    <m/>
    <n v="310"/>
    <n v="3"/>
    <x v="2"/>
    <x v="3"/>
    <m/>
    <s v="cautery"/>
    <s v="energy-sharp dissection"/>
    <s v="right"/>
  </r>
  <r>
    <m/>
    <x v="1"/>
    <s v="Control 6"/>
    <s v="LapChol Case 0011 03"/>
    <n v="320"/>
    <n v="1"/>
    <x v="1"/>
    <x v="3"/>
    <m/>
    <s v="G"/>
    <s v="RG"/>
    <s v="left"/>
  </r>
  <r>
    <m/>
    <x v="1"/>
    <m/>
    <m/>
    <n v="320"/>
    <n v="2"/>
    <x v="1"/>
    <x v="3"/>
    <m/>
    <s v="G2"/>
    <s v="RG"/>
    <s v="left"/>
  </r>
  <r>
    <m/>
    <x v="1"/>
    <m/>
    <m/>
    <n v="320"/>
    <n v="3"/>
    <x v="2"/>
    <x v="3"/>
    <m/>
    <s v="cautery"/>
    <s v="energy-sharp dissection"/>
    <s v="right"/>
  </r>
  <r>
    <m/>
    <x v="1"/>
    <s v="Control 7"/>
    <s v="LapChol Case 0012 03"/>
    <n v="10"/>
    <n v="1"/>
    <x v="1"/>
    <x v="3"/>
    <m/>
    <s v="cautery"/>
    <s v="energy-sharp dissection"/>
    <s v="right"/>
  </r>
  <r>
    <m/>
    <x v="1"/>
    <s v="Control 7"/>
    <s v="LapChol Case 0012 03"/>
    <n v="40"/>
    <n v="1"/>
    <x v="1"/>
    <x v="3"/>
    <m/>
    <s v="G"/>
    <s v="RG"/>
    <s v="left"/>
  </r>
  <r>
    <m/>
    <x v="1"/>
    <s v="Control 7"/>
    <s v="LapChol Case 0012 03"/>
    <n v="70"/>
    <n v="1"/>
    <x v="2"/>
    <x v="3"/>
    <m/>
    <s v="G"/>
    <s v="RG"/>
    <s v="left"/>
  </r>
  <r>
    <m/>
    <x v="1"/>
    <m/>
    <m/>
    <n v="70"/>
    <n v="2"/>
    <x v="1"/>
    <x v="3"/>
    <m/>
    <s v="cautery"/>
    <s v="energy-sharp dissection"/>
    <s v="right"/>
  </r>
  <r>
    <m/>
    <x v="1"/>
    <s v="Control 7"/>
    <s v="LapChol Case 0012 03"/>
    <n v="80"/>
    <n v="1"/>
    <x v="1"/>
    <x v="3"/>
    <m/>
    <s v="G"/>
    <s v="RG"/>
    <s v="left"/>
  </r>
  <r>
    <m/>
    <x v="1"/>
    <m/>
    <m/>
    <n v="80"/>
    <n v="2"/>
    <x v="2"/>
    <x v="3"/>
    <m/>
    <s v="cautery"/>
    <s v="energy-sharp dissection"/>
    <s v="right"/>
  </r>
  <r>
    <m/>
    <x v="1"/>
    <s v="Control 7"/>
    <s v="LapChol Case 0012 03"/>
    <n v="100"/>
    <n v="1"/>
    <x v="1"/>
    <x v="3"/>
    <m/>
    <s v="G"/>
    <s v="RG"/>
    <s v="left"/>
  </r>
  <r>
    <m/>
    <x v="1"/>
    <m/>
    <m/>
    <n v="100"/>
    <n v="2"/>
    <x v="3"/>
    <x v="2"/>
    <m/>
    <s v="cautery"/>
    <m/>
    <s v="right"/>
  </r>
  <r>
    <m/>
    <x v="1"/>
    <s v="Control 7"/>
    <s v="LapChol Case 0012 03"/>
    <n v="110"/>
    <n v="1"/>
    <x v="1"/>
    <x v="3"/>
    <m/>
    <s v="G"/>
    <s v="RG"/>
    <s v="left"/>
  </r>
  <r>
    <m/>
    <x v="1"/>
    <m/>
    <m/>
    <n v="110"/>
    <n v="2"/>
    <x v="1"/>
    <x v="3"/>
    <m/>
    <s v="cautery"/>
    <s v="energy-sharp dissection"/>
    <s v="right"/>
  </r>
  <r>
    <m/>
    <x v="1"/>
    <s v="Control 7"/>
    <s v="LapChol Case 0012 03"/>
    <n v="120"/>
    <n v="1"/>
    <x v="1"/>
    <x v="3"/>
    <m/>
    <s v="G"/>
    <s v="RG"/>
    <s v="left"/>
  </r>
  <r>
    <m/>
    <x v="1"/>
    <m/>
    <m/>
    <n v="120"/>
    <n v="2"/>
    <x v="1"/>
    <x v="3"/>
    <m/>
    <s v="cautery"/>
    <s v="energy-sharp dissection"/>
    <s v="right"/>
  </r>
  <r>
    <m/>
    <x v="1"/>
    <s v="Control 7"/>
    <s v="LapChol Case 0012 03"/>
    <n v="130"/>
    <n v="1"/>
    <x v="1"/>
    <x v="3"/>
    <m/>
    <s v="cautery"/>
    <s v="energy-sharp dissection"/>
    <s v="right"/>
  </r>
  <r>
    <m/>
    <x v="1"/>
    <s v="Control 7"/>
    <s v="LapChol Case 0012 03"/>
    <n v="140"/>
    <n v="1"/>
    <x v="1"/>
    <x v="3"/>
    <m/>
    <s v="cautery"/>
    <s v="energy-sharp dissection"/>
    <s v="right"/>
  </r>
  <r>
    <m/>
    <x v="1"/>
    <s v="Control 7"/>
    <s v="LapChol Case 0012 03"/>
    <n v="150"/>
    <n v="1"/>
    <x v="1"/>
    <x v="3"/>
    <m/>
    <s v="cautery"/>
    <s v="other"/>
    <s v="right"/>
  </r>
  <r>
    <m/>
    <x v="1"/>
    <s v="Control 7"/>
    <s v="LapChol Case 0012 03"/>
    <n v="160"/>
    <n v="1"/>
    <x v="1"/>
    <x v="3"/>
    <m/>
    <s v="G"/>
    <s v="RG"/>
    <s v="left"/>
  </r>
  <r>
    <m/>
    <x v="1"/>
    <m/>
    <m/>
    <n v="160"/>
    <n v="2"/>
    <x v="1"/>
    <x v="3"/>
    <m/>
    <s v="cautery"/>
    <s v="energy-sharp dissection"/>
    <s v="right"/>
  </r>
  <r>
    <m/>
    <x v="1"/>
    <s v="Control 7"/>
    <s v="LapChol Case 0012 03"/>
    <n v="190"/>
    <n v="1"/>
    <x v="1"/>
    <x v="3"/>
    <m/>
    <s v="cautery"/>
    <s v="other"/>
    <s v="right"/>
  </r>
  <r>
    <m/>
    <x v="1"/>
    <s v="Control 7"/>
    <s v="LapChol Case 0012 03"/>
    <n v="210"/>
    <n v="1"/>
    <x v="1"/>
    <x v="3"/>
    <m/>
    <s v="G"/>
    <s v="RG"/>
    <s v="left"/>
  </r>
  <r>
    <m/>
    <x v="1"/>
    <m/>
    <m/>
    <n v="210"/>
    <n v="2"/>
    <x v="2"/>
    <x v="3"/>
    <m/>
    <s v="cautery"/>
    <s v="energy-sharp dissection"/>
    <s v="right"/>
  </r>
  <r>
    <m/>
    <x v="1"/>
    <s v="Control 7"/>
    <s v="LapChol Case 0012 03"/>
    <n v="230"/>
    <n v="1"/>
    <x v="1"/>
    <x v="3"/>
    <m/>
    <s v="cautery"/>
    <s v="energy-sharp dissection"/>
    <s v="right"/>
  </r>
  <r>
    <m/>
    <x v="1"/>
    <s v="Control 7"/>
    <s v="LapChol Case 0012 03"/>
    <n v="270"/>
    <n v="1"/>
    <x v="2"/>
    <x v="3"/>
    <m/>
    <s v="G"/>
    <s v="RG"/>
    <s v="left"/>
  </r>
  <r>
    <m/>
    <x v="1"/>
    <m/>
    <m/>
    <n v="270"/>
    <n v="2"/>
    <x v="1"/>
    <x v="3"/>
    <m/>
    <s v="cautery"/>
    <s v="other"/>
    <s v="right"/>
  </r>
  <r>
    <m/>
    <x v="1"/>
    <s v="Control 7"/>
    <s v="LapChol Case 0012 03"/>
    <n v="280"/>
    <n v="1"/>
    <x v="1"/>
    <x v="3"/>
    <m/>
    <s v="G"/>
    <s v="RG"/>
    <s v="left"/>
  </r>
  <r>
    <m/>
    <x v="1"/>
    <m/>
    <m/>
    <n v="280"/>
    <n v="2"/>
    <x v="2"/>
    <x v="3"/>
    <m/>
    <s v="cautery"/>
    <s v="energy-sharp dissection"/>
    <s v="right"/>
  </r>
  <r>
    <m/>
    <x v="1"/>
    <s v="Control 7"/>
    <s v="LapChol Case 0012 03"/>
    <n v="290"/>
    <n v="1"/>
    <x v="1"/>
    <x v="3"/>
    <m/>
    <s v="G"/>
    <s v="other"/>
    <s v="left"/>
  </r>
  <r>
    <m/>
    <x v="1"/>
    <m/>
    <m/>
    <n v="290"/>
    <n v="2"/>
    <x v="3"/>
    <x v="2"/>
    <m/>
    <s v="cautery"/>
    <m/>
    <s v="right"/>
  </r>
  <r>
    <m/>
    <x v="1"/>
    <s v="Control 7"/>
    <s v="LapChol Case 0012 03"/>
    <n v="300"/>
    <n v="1"/>
    <x v="1"/>
    <x v="3"/>
    <m/>
    <s v="G"/>
    <s v="RG"/>
    <s v="left"/>
  </r>
  <r>
    <m/>
    <x v="1"/>
    <m/>
    <m/>
    <n v="300"/>
    <n v="2"/>
    <x v="2"/>
    <x v="3"/>
    <m/>
    <s v="cautery"/>
    <s v="energy-sharp dissection"/>
    <s v="right"/>
  </r>
  <r>
    <m/>
    <x v="1"/>
    <s v="Control 7"/>
    <s v="LapChol Case 0012 03"/>
    <n v="320"/>
    <n v="1"/>
    <x v="1"/>
    <x v="3"/>
    <m/>
    <s v="G"/>
    <s v="RG"/>
    <s v="left"/>
  </r>
  <r>
    <m/>
    <x v="1"/>
    <m/>
    <m/>
    <n v="320"/>
    <n v="2"/>
    <x v="1"/>
    <x v="3"/>
    <m/>
    <s v="cautery"/>
    <s v="energy-sharp dissection"/>
    <s v="right"/>
  </r>
  <r>
    <m/>
    <x v="1"/>
    <s v="Control 7"/>
    <s v="LapChol Case 0012 03"/>
    <n v="330"/>
    <n v="1"/>
    <x v="1"/>
    <x v="3"/>
    <m/>
    <s v="G"/>
    <s v="RG"/>
    <s v="left"/>
  </r>
  <r>
    <m/>
    <x v="1"/>
    <m/>
    <m/>
    <n v="330"/>
    <n v="2"/>
    <x v="2"/>
    <x v="3"/>
    <m/>
    <s v="cautery"/>
    <s v="energy-sharp dissection"/>
    <s v="right"/>
  </r>
  <r>
    <m/>
    <x v="1"/>
    <s v="Control 7"/>
    <s v="LapChol Case 0012 04"/>
    <n v="0"/>
    <n v="1"/>
    <x v="1"/>
    <x v="3"/>
    <m/>
    <s v="G"/>
    <s v="RG"/>
    <s v="left"/>
  </r>
  <r>
    <m/>
    <x v="1"/>
    <m/>
    <m/>
    <n v="0"/>
    <n v="2"/>
    <x v="1"/>
    <x v="3"/>
    <m/>
    <s v="cautery"/>
    <s v="energy-sharp dissection"/>
    <s v="right"/>
  </r>
  <r>
    <m/>
    <x v="1"/>
    <s v="Control 7"/>
    <s v="LapChol Case 0012 04"/>
    <n v="40"/>
    <n v="1"/>
    <x v="1"/>
    <x v="3"/>
    <m/>
    <s v="G"/>
    <s v="other"/>
    <s v="left"/>
  </r>
  <r>
    <m/>
    <x v="1"/>
    <m/>
    <m/>
    <n v="40"/>
    <n v="2"/>
    <x v="2"/>
    <x v="3"/>
    <m/>
    <s v="Suction"/>
    <s v="other"/>
    <s v="right"/>
  </r>
  <r>
    <m/>
    <x v="1"/>
    <s v="Control 7"/>
    <s v="LapChol Case 0012 04"/>
    <n v="50"/>
    <n v="1"/>
    <x v="1"/>
    <x v="3"/>
    <m/>
    <s v="G"/>
    <s v="RG"/>
    <s v="left"/>
  </r>
  <r>
    <m/>
    <x v="1"/>
    <s v="Control 7"/>
    <s v="LapChol Case 0012 04"/>
    <n v="120"/>
    <n v="1"/>
    <x v="1"/>
    <x v="3"/>
    <m/>
    <s v="G"/>
    <s v="RG"/>
    <s v="left"/>
  </r>
  <r>
    <m/>
    <x v="1"/>
    <m/>
    <m/>
    <n v="120"/>
    <n v="2"/>
    <x v="2"/>
    <x v="3"/>
    <m/>
    <s v="G2"/>
    <s v="RG"/>
    <s v="left"/>
  </r>
  <r>
    <m/>
    <x v="1"/>
    <m/>
    <m/>
    <n v="120"/>
    <n v="3"/>
    <x v="3"/>
    <x v="2"/>
    <m/>
    <s v="cautery"/>
    <m/>
    <s v="right"/>
  </r>
  <r>
    <m/>
    <x v="1"/>
    <s v="Control 7"/>
    <s v="LapChol Case 0012 04"/>
    <n v="180"/>
    <n v="1"/>
    <x v="1"/>
    <x v="3"/>
    <m/>
    <s v="cautery"/>
    <s v="energy-sharp dissection"/>
    <s v="right"/>
  </r>
  <r>
    <m/>
    <x v="1"/>
    <s v="Control 7"/>
    <s v="LapChol Case 0012 04"/>
    <n v="190"/>
    <n v="1"/>
    <x v="1"/>
    <x v="3"/>
    <m/>
    <s v="G"/>
    <s v="RG"/>
    <s v="left"/>
  </r>
  <r>
    <m/>
    <x v="1"/>
    <s v="Control 7"/>
    <s v="LapChol Case 0012 04"/>
    <n v="200"/>
    <n v="1"/>
    <x v="1"/>
    <x v="3"/>
    <m/>
    <s v="G"/>
    <s v="RG"/>
    <s v="left"/>
  </r>
  <r>
    <m/>
    <x v="1"/>
    <s v="Control 7"/>
    <s v="LapChol Case 0012 04"/>
    <n v="210"/>
    <n v="1"/>
    <x v="1"/>
    <x v="3"/>
    <m/>
    <s v="G"/>
    <s v="RG"/>
    <s v="left"/>
  </r>
  <r>
    <m/>
    <x v="1"/>
    <m/>
    <m/>
    <n v="210"/>
    <n v="2"/>
    <x v="1"/>
    <x v="3"/>
    <m/>
    <s v="Suction"/>
    <s v="other"/>
    <s v="right"/>
  </r>
  <r>
    <m/>
    <x v="1"/>
    <s v="Control 7"/>
    <s v="LapChol Case 0012 04"/>
    <n v="220"/>
    <n v="1"/>
    <x v="1"/>
    <x v="3"/>
    <m/>
    <s v="G"/>
    <s v="RG"/>
    <s v="left"/>
  </r>
  <r>
    <m/>
    <x v="1"/>
    <m/>
    <m/>
    <n v="220"/>
    <n v="2"/>
    <x v="1"/>
    <x v="3"/>
    <m/>
    <s v="Suction"/>
    <s v="other"/>
    <s v="right"/>
  </r>
  <r>
    <m/>
    <x v="1"/>
    <s v="Control 7"/>
    <s v="LapChol Case 0012 04"/>
    <n v="230"/>
    <n v="1"/>
    <x v="1"/>
    <x v="3"/>
    <m/>
    <s v="G"/>
    <s v="RG"/>
    <s v="left"/>
  </r>
  <r>
    <m/>
    <x v="1"/>
    <m/>
    <m/>
    <n v="230"/>
    <n v="2"/>
    <x v="2"/>
    <x v="3"/>
    <m/>
    <s v="Suction"/>
    <s v="other"/>
    <s v="right"/>
  </r>
  <r>
    <m/>
    <x v="1"/>
    <s v="Control 7"/>
    <s v="LapChol Case 0012 04"/>
    <n v="240"/>
    <n v="1"/>
    <x v="1"/>
    <x v="3"/>
    <m/>
    <s v="G"/>
    <s v="RG"/>
    <s v="left"/>
  </r>
  <r>
    <m/>
    <x v="1"/>
    <m/>
    <m/>
    <n v="240"/>
    <n v="2"/>
    <x v="3"/>
    <x v="2"/>
    <m/>
    <s v="Suction"/>
    <m/>
    <s v="right"/>
  </r>
  <r>
    <m/>
    <x v="1"/>
    <s v="Control 7"/>
    <s v="LapChol Case 0012 04"/>
    <n v="250"/>
    <n v="1"/>
    <x v="1"/>
    <x v="3"/>
    <m/>
    <s v="G"/>
    <s v="RG"/>
    <s v="left"/>
  </r>
  <r>
    <m/>
    <x v="1"/>
    <m/>
    <m/>
    <n v="250"/>
    <n v="2"/>
    <x v="2"/>
    <x v="3"/>
    <m/>
    <s v="Suction"/>
    <s v="other"/>
    <s v="right"/>
  </r>
  <r>
    <m/>
    <x v="1"/>
    <s v="Control 7"/>
    <s v="LapChol Case 0012 04"/>
    <n v="260"/>
    <n v="1"/>
    <x v="1"/>
    <x v="3"/>
    <m/>
    <s v="G"/>
    <s v="RG"/>
    <s v="left"/>
  </r>
  <r>
    <m/>
    <x v="1"/>
    <m/>
    <m/>
    <n v="260"/>
    <n v="2"/>
    <x v="4"/>
    <x v="2"/>
    <m/>
    <s v="none"/>
    <m/>
    <m/>
  </r>
  <r>
    <m/>
    <x v="1"/>
    <m/>
    <m/>
    <n v="260"/>
    <n v="3"/>
    <x v="2"/>
    <x v="3"/>
    <m/>
    <s v="Suction"/>
    <s v="other"/>
    <s v="right"/>
  </r>
  <r>
    <m/>
    <x v="1"/>
    <s v="Control 7"/>
    <s v="LapChol Case 0012 04"/>
    <n v="270"/>
    <n v="1"/>
    <x v="1"/>
    <x v="3"/>
    <m/>
    <s v="G"/>
    <s v="RG"/>
    <s v="left"/>
  </r>
  <r>
    <m/>
    <x v="1"/>
    <m/>
    <m/>
    <n v="270"/>
    <n v="2"/>
    <x v="4"/>
    <x v="2"/>
    <m/>
    <s v="none"/>
    <m/>
    <m/>
  </r>
  <r>
    <m/>
    <x v="1"/>
    <m/>
    <m/>
    <n v="270"/>
    <n v="3"/>
    <x v="1"/>
    <x v="3"/>
    <m/>
    <s v="Suction"/>
    <s v="other"/>
    <s v="right"/>
  </r>
  <r>
    <m/>
    <x v="1"/>
    <s v="Control 7"/>
    <s v="LapChol Case 0012 04"/>
    <n v="280"/>
    <n v="1"/>
    <x v="1"/>
    <x v="3"/>
    <m/>
    <s v="G"/>
    <s v="RG"/>
    <s v="left"/>
  </r>
  <r>
    <m/>
    <x v="1"/>
    <m/>
    <m/>
    <n v="280"/>
    <n v="1"/>
    <x v="1"/>
    <x v="3"/>
    <m/>
    <s v="Suction"/>
    <s v="blunt dissection"/>
    <s v="right"/>
  </r>
  <r>
    <m/>
    <x v="1"/>
    <s v="Control 7"/>
    <s v="LapChol Case 0012 04"/>
    <n v="310"/>
    <n v="1"/>
    <x v="1"/>
    <x v="3"/>
    <m/>
    <s v="cautery"/>
    <s v="energy-sharp dissection"/>
    <s v="right"/>
  </r>
  <r>
    <m/>
    <x v="1"/>
    <s v="Control 7"/>
    <s v="LapChol Case 0012 04"/>
    <n v="330"/>
    <n v="1"/>
    <x v="1"/>
    <x v="3"/>
    <m/>
    <s v="G"/>
    <s v="RG"/>
    <s v="left"/>
  </r>
  <r>
    <m/>
    <x v="1"/>
    <m/>
    <m/>
    <n v="330"/>
    <n v="1"/>
    <x v="1"/>
    <x v="3"/>
    <m/>
    <s v="cautery"/>
    <s v="other"/>
    <s v="right"/>
  </r>
  <r>
    <m/>
    <x v="1"/>
    <s v="Control 8"/>
    <s v="LapChol Case 0015 01"/>
    <n v="0"/>
    <n v="1"/>
    <x v="1"/>
    <x v="3"/>
    <m/>
    <s v="cautery"/>
    <s v="energy-sharp dissection"/>
    <s v="right"/>
  </r>
  <r>
    <m/>
    <x v="1"/>
    <m/>
    <m/>
    <n v="0"/>
    <n v="2"/>
    <x v="2"/>
    <x v="3"/>
    <m/>
    <s v="G"/>
    <s v="RG"/>
    <s v="left"/>
  </r>
  <r>
    <m/>
    <x v="1"/>
    <s v="Control 8"/>
    <s v="LapChol Case 0015 01"/>
    <n v="10"/>
    <n v="1"/>
    <x v="1"/>
    <x v="3"/>
    <m/>
    <s v="G"/>
    <s v="RG"/>
    <s v="left"/>
  </r>
  <r>
    <m/>
    <x v="1"/>
    <m/>
    <m/>
    <n v="10"/>
    <n v="2"/>
    <x v="3"/>
    <x v="2"/>
    <m/>
    <s v="cautery"/>
    <m/>
    <s v="right"/>
  </r>
  <r>
    <m/>
    <x v="1"/>
    <s v="Control 8"/>
    <s v="LapChol Case 0015 01"/>
    <n v="20"/>
    <n v="1"/>
    <x v="1"/>
    <x v="3"/>
    <m/>
    <s v="G"/>
    <s v="RG"/>
    <s v="left"/>
  </r>
  <r>
    <m/>
    <x v="1"/>
    <m/>
    <m/>
    <n v="20"/>
    <n v="2"/>
    <x v="1"/>
    <x v="3"/>
    <m/>
    <s v="cautery"/>
    <s v="energy-sharp dissection"/>
    <s v="right"/>
  </r>
  <r>
    <m/>
    <x v="1"/>
    <s v="Control 8"/>
    <s v="LapChol Case 0015 01"/>
    <n v="30"/>
    <n v="1"/>
    <x v="1"/>
    <x v="3"/>
    <m/>
    <s v="cautery"/>
    <s v="other"/>
    <s v="right"/>
  </r>
  <r>
    <m/>
    <x v="1"/>
    <m/>
    <m/>
    <n v="30"/>
    <n v="2"/>
    <x v="2"/>
    <x v="3"/>
    <m/>
    <s v="G"/>
    <s v="RG"/>
    <s v="left"/>
  </r>
  <r>
    <m/>
    <x v="1"/>
    <s v="Control 8"/>
    <s v="LapChol Case 0015 01"/>
    <n v="40"/>
    <n v="1"/>
    <x v="1"/>
    <x v="3"/>
    <m/>
    <s v="cautery"/>
    <s v="energy-sharp dissection"/>
    <s v="right"/>
  </r>
  <r>
    <m/>
    <x v="1"/>
    <m/>
    <m/>
    <n v="40"/>
    <n v="2"/>
    <x v="2"/>
    <x v="3"/>
    <m/>
    <s v="G"/>
    <s v="RG"/>
    <s v="left"/>
  </r>
  <r>
    <m/>
    <x v="1"/>
    <s v="Control 8"/>
    <s v="LapChol Case 0015 01"/>
    <n v="50"/>
    <n v="1"/>
    <x v="1"/>
    <x v="3"/>
    <m/>
    <s v="cautery"/>
    <s v="energy-sharp dissection"/>
    <s v="right"/>
  </r>
  <r>
    <m/>
    <x v="1"/>
    <m/>
    <m/>
    <n v="50"/>
    <n v="2"/>
    <x v="2"/>
    <x v="3"/>
    <m/>
    <s v="G"/>
    <s v="RG"/>
    <s v="left"/>
  </r>
  <r>
    <m/>
    <x v="1"/>
    <s v="Control 8"/>
    <s v="LapChol Case 0015 01"/>
    <n v="60"/>
    <n v="1"/>
    <x v="1"/>
    <x v="3"/>
    <m/>
    <s v="G"/>
    <s v="RG"/>
    <s v="left"/>
  </r>
  <r>
    <m/>
    <x v="1"/>
    <m/>
    <m/>
    <n v="60"/>
    <n v="2"/>
    <x v="1"/>
    <x v="3"/>
    <m/>
    <s v="cautery"/>
    <s v="energy-sharp dissection"/>
    <s v="right"/>
  </r>
  <r>
    <m/>
    <x v="1"/>
    <s v="Control 8"/>
    <s v="LapChol Case 0015 01"/>
    <n v="70"/>
    <n v="1"/>
    <x v="1"/>
    <x v="3"/>
    <m/>
    <s v="G"/>
    <s v="RG"/>
    <s v="left"/>
  </r>
  <r>
    <m/>
    <x v="1"/>
    <m/>
    <m/>
    <n v="70"/>
    <n v="2"/>
    <x v="2"/>
    <x v="3"/>
    <m/>
    <s v="cautery"/>
    <s v="energy-sharp dissection"/>
    <s v="right"/>
  </r>
  <r>
    <m/>
    <x v="1"/>
    <s v="Control 8"/>
    <s v="LapChol Case 0015 01"/>
    <n v="100"/>
    <n v="1"/>
    <x v="1"/>
    <x v="3"/>
    <m/>
    <s v="G"/>
    <s v="RG"/>
    <s v="left"/>
  </r>
  <r>
    <m/>
    <x v="1"/>
    <m/>
    <m/>
    <n v="100"/>
    <n v="2"/>
    <x v="1"/>
    <x v="3"/>
    <m/>
    <s v="cautery"/>
    <s v="energy-sharp dissection"/>
    <s v="right"/>
  </r>
  <r>
    <m/>
    <x v="1"/>
    <s v="Control 8"/>
    <s v="LapChol Case 0015 01"/>
    <n v="120"/>
    <n v="1"/>
    <x v="1"/>
    <x v="3"/>
    <m/>
    <s v="G"/>
    <s v="RG"/>
    <s v="left"/>
  </r>
  <r>
    <m/>
    <x v="1"/>
    <m/>
    <m/>
    <n v="120"/>
    <n v="2"/>
    <x v="2"/>
    <x v="3"/>
    <m/>
    <s v="cautery"/>
    <s v="other"/>
    <s v="right"/>
  </r>
  <r>
    <m/>
    <x v="1"/>
    <s v="Control 8"/>
    <s v="LapChol Case 0015 01"/>
    <n v="130"/>
    <n v="1"/>
    <x v="1"/>
    <x v="3"/>
    <m/>
    <s v="G"/>
    <s v="RG"/>
    <s v="left"/>
  </r>
  <r>
    <m/>
    <x v="1"/>
    <m/>
    <m/>
    <n v="130"/>
    <n v="2"/>
    <x v="2"/>
    <x v="3"/>
    <m/>
    <s v="cautery"/>
    <s v="other"/>
    <s v="right"/>
  </r>
  <r>
    <m/>
    <x v="1"/>
    <s v="Control 8"/>
    <s v="LapChol Case 0015 01"/>
    <n v="140"/>
    <n v="1"/>
    <x v="1"/>
    <x v="3"/>
    <m/>
    <s v="G"/>
    <s v="RG"/>
    <s v="left"/>
  </r>
  <r>
    <m/>
    <x v="1"/>
    <m/>
    <m/>
    <n v="140"/>
    <n v="2"/>
    <x v="2"/>
    <x v="3"/>
    <m/>
    <s v="cautery"/>
    <s v="other"/>
    <s v="right"/>
  </r>
  <r>
    <m/>
    <x v="1"/>
    <s v="Control 8"/>
    <s v="LapChol Case 0015 01"/>
    <n v="150"/>
    <n v="1"/>
    <x v="1"/>
    <x v="3"/>
    <m/>
    <s v="G"/>
    <s v="RG"/>
    <s v="left"/>
  </r>
  <r>
    <m/>
    <x v="1"/>
    <s v="Control 8"/>
    <s v="LapChol Case 0015 01"/>
    <n v="160"/>
    <n v="1"/>
    <x v="1"/>
    <x v="3"/>
    <m/>
    <s v="G"/>
    <s v="RG"/>
    <s v="left"/>
  </r>
  <r>
    <m/>
    <x v="1"/>
    <m/>
    <m/>
    <n v="160"/>
    <n v="2"/>
    <x v="1"/>
    <x v="3"/>
    <m/>
    <s v="cautery"/>
    <s v="other"/>
    <s v="right"/>
  </r>
  <r>
    <m/>
    <x v="1"/>
    <s v="Control 8"/>
    <s v="LapChol Case 0015 01"/>
    <n v="180"/>
    <n v="1"/>
    <x v="0"/>
    <x v="0"/>
    <s v="not a target"/>
    <m/>
    <m/>
    <m/>
  </r>
  <r>
    <m/>
    <x v="1"/>
    <s v="Control 8"/>
    <s v="LapChol Case 0015 01"/>
    <n v="200"/>
    <n v="1"/>
    <x v="0"/>
    <x v="0"/>
    <s v="not a target"/>
    <m/>
    <m/>
    <m/>
  </r>
  <r>
    <m/>
    <x v="1"/>
    <s v="Control 8"/>
    <s v="LapChol Case 0015 01"/>
    <n v="210"/>
    <n v="1"/>
    <x v="1"/>
    <x v="3"/>
    <m/>
    <s v="G"/>
    <s v="RG"/>
    <s v="left"/>
  </r>
  <r>
    <m/>
    <x v="1"/>
    <s v="Control 8"/>
    <s v="LapChol Case 0015 01"/>
    <n v="230"/>
    <n v="1"/>
    <x v="1"/>
    <x v="3"/>
    <m/>
    <s v="G"/>
    <s v="RG"/>
    <s v="left"/>
  </r>
  <r>
    <m/>
    <x v="1"/>
    <m/>
    <m/>
    <n v="230"/>
    <n v="2"/>
    <x v="2"/>
    <x v="3"/>
    <m/>
    <s v="dissector"/>
    <s v="blunt dissection"/>
    <s v="right"/>
  </r>
  <r>
    <m/>
    <x v="1"/>
    <s v="Control 8"/>
    <s v="LapChol Case 0015 01"/>
    <n v="240"/>
    <n v="1"/>
    <x v="1"/>
    <x v="3"/>
    <m/>
    <s v="G"/>
    <s v="RG"/>
    <s v="left"/>
  </r>
  <r>
    <m/>
    <x v="1"/>
    <m/>
    <m/>
    <n v="240"/>
    <n v="2"/>
    <x v="4"/>
    <x v="2"/>
    <m/>
    <s v="none"/>
    <m/>
    <m/>
  </r>
  <r>
    <m/>
    <x v="1"/>
    <m/>
    <m/>
    <n v="240"/>
    <n v="3"/>
    <x v="2"/>
    <x v="3"/>
    <m/>
    <s v="dissector"/>
    <s v="other"/>
    <s v="right"/>
  </r>
  <r>
    <m/>
    <x v="1"/>
    <s v="Control 8"/>
    <s v="LapChol Case 0015 01"/>
    <n v="250"/>
    <n v="1"/>
    <x v="1"/>
    <x v="3"/>
    <m/>
    <s v="G"/>
    <s v="RG"/>
    <s v="left"/>
  </r>
  <r>
    <m/>
    <x v="1"/>
    <m/>
    <m/>
    <n v="250"/>
    <n v="2"/>
    <x v="2"/>
    <x v="3"/>
    <m/>
    <s v="dissector"/>
    <s v="blunt dissection"/>
    <s v="right"/>
  </r>
  <r>
    <m/>
    <x v="1"/>
    <s v="Control 8"/>
    <s v="LapChol Case 0015 01"/>
    <n v="260"/>
    <n v="1"/>
    <x v="1"/>
    <x v="3"/>
    <m/>
    <s v="G"/>
    <s v="RG"/>
    <s v="left"/>
  </r>
  <r>
    <m/>
    <x v="1"/>
    <m/>
    <m/>
    <n v="260"/>
    <n v="2"/>
    <x v="3"/>
    <x v="2"/>
    <m/>
    <s v="dissector"/>
    <m/>
    <s v="right"/>
  </r>
  <r>
    <m/>
    <x v="1"/>
    <s v="Control 8"/>
    <s v="LapChol Case 0015 02"/>
    <n v="80"/>
    <n v="1"/>
    <x v="1"/>
    <x v="3"/>
    <m/>
    <s v="dissector"/>
    <s v="blunt dissection"/>
    <s v="left"/>
  </r>
  <r>
    <m/>
    <x v="1"/>
    <m/>
    <m/>
    <n v="80"/>
    <n v="2"/>
    <x v="2"/>
    <x v="3"/>
    <m/>
    <s v="cautery"/>
    <s v="other"/>
    <s v="right"/>
  </r>
  <r>
    <m/>
    <x v="1"/>
    <s v="Control 8"/>
    <s v="LapChol Case 0015 02"/>
    <n v="90"/>
    <n v="1"/>
    <x v="1"/>
    <x v="3"/>
    <m/>
    <s v="dissector"/>
    <s v="blunt dissection"/>
    <s v="left"/>
  </r>
  <r>
    <m/>
    <x v="1"/>
    <m/>
    <m/>
    <n v="90"/>
    <n v="2"/>
    <x v="2"/>
    <x v="3"/>
    <m/>
    <s v="cautery"/>
    <s v="other"/>
    <s v="right"/>
  </r>
  <r>
    <m/>
    <x v="1"/>
    <s v="Control 8"/>
    <s v="LapChol Case 0015 02"/>
    <n v="120"/>
    <n v="1"/>
    <x v="2"/>
    <x v="3"/>
    <m/>
    <s v="G"/>
    <s v="RG"/>
    <s v="left"/>
  </r>
  <r>
    <m/>
    <x v="1"/>
    <m/>
    <m/>
    <n v="120"/>
    <n v="2"/>
    <x v="4"/>
    <x v="2"/>
    <m/>
    <s v="none"/>
    <m/>
    <m/>
  </r>
  <r>
    <m/>
    <x v="1"/>
    <m/>
    <m/>
    <n v="120"/>
    <n v="3"/>
    <x v="2"/>
    <x v="1"/>
    <m/>
    <s v="cautery"/>
    <s v="energy-sharp dissection"/>
    <s v="right"/>
  </r>
  <r>
    <m/>
    <x v="1"/>
    <s v="Control 8"/>
    <s v="LapChol Case 0015 02"/>
    <n v="190"/>
    <n v="1"/>
    <x v="4"/>
    <x v="2"/>
    <m/>
    <s v="cautery"/>
    <m/>
    <s v="right"/>
  </r>
  <r>
    <m/>
    <x v="1"/>
    <m/>
    <m/>
    <n v="190"/>
    <n v="2"/>
    <x v="2"/>
    <x v="3"/>
    <m/>
    <s v="cautery"/>
    <s v="other"/>
    <s v="right"/>
  </r>
  <r>
    <m/>
    <x v="1"/>
    <s v="Control 8"/>
    <s v="LapChol Case 0015 02"/>
    <n v="200"/>
    <n v="1"/>
    <x v="1"/>
    <x v="3"/>
    <m/>
    <s v="cautery"/>
    <s v="other"/>
    <s v="right"/>
  </r>
  <r>
    <m/>
    <x v="1"/>
    <s v="Control 8"/>
    <s v="LapChol Case 0015 02"/>
    <n v="230"/>
    <n v="1"/>
    <x v="1"/>
    <x v="3"/>
    <m/>
    <s v="G"/>
    <s v="RG"/>
    <s v="left"/>
  </r>
  <r>
    <m/>
    <x v="1"/>
    <m/>
    <m/>
    <n v="230"/>
    <n v="2"/>
    <x v="4"/>
    <x v="2"/>
    <m/>
    <s v="cautery"/>
    <m/>
    <s v="right"/>
  </r>
  <r>
    <m/>
    <x v="1"/>
    <s v="Control 8"/>
    <s v="LapChol Case 0015 02"/>
    <n v="300"/>
    <n v="1"/>
    <x v="1"/>
    <x v="3"/>
    <m/>
    <s v="G"/>
    <s v="RG"/>
    <s v="left"/>
  </r>
  <r>
    <m/>
    <x v="1"/>
    <m/>
    <m/>
    <n v="300"/>
    <n v="2"/>
    <x v="3"/>
    <x v="2"/>
    <m/>
    <s v="cautery"/>
    <m/>
    <s v="right"/>
  </r>
  <r>
    <m/>
    <x v="1"/>
    <s v="Control 9"/>
    <s v="LapChol Case 0016 01"/>
    <n v="60"/>
    <n v="1"/>
    <x v="0"/>
    <x v="0"/>
    <s v="not a target"/>
    <m/>
    <m/>
    <m/>
  </r>
  <r>
    <m/>
    <x v="1"/>
    <s v="Control 9"/>
    <s v="LapChol Case 0016 01"/>
    <n v="90"/>
    <n v="1"/>
    <x v="1"/>
    <x v="3"/>
    <m/>
    <s v="G"/>
    <s v="RG"/>
    <s v="left"/>
  </r>
  <r>
    <m/>
    <x v="1"/>
    <m/>
    <m/>
    <n v="90"/>
    <n v="2"/>
    <x v="1"/>
    <x v="3"/>
    <m/>
    <s v="G2"/>
    <s v="RG"/>
    <s v="left"/>
  </r>
  <r>
    <m/>
    <x v="1"/>
    <s v="Control 9"/>
    <s v="LapChol Case 0016 01"/>
    <n v="120"/>
    <n v="1"/>
    <x v="1"/>
    <x v="3"/>
    <m/>
    <s v="cautery"/>
    <s v="energy-sharp dissection"/>
    <s v="right"/>
  </r>
  <r>
    <m/>
    <x v="1"/>
    <m/>
    <m/>
    <n v="120"/>
    <n v="2"/>
    <x v="2"/>
    <x v="3"/>
    <m/>
    <s v="G"/>
    <s v="RG"/>
    <s v="left"/>
  </r>
  <r>
    <m/>
    <x v="1"/>
    <s v="Control 9"/>
    <s v="LapChol Case 0016 01"/>
    <n v="130"/>
    <n v="1"/>
    <x v="1"/>
    <x v="3"/>
    <m/>
    <s v="cautery"/>
    <s v="energy-sharp dissection"/>
    <s v="right"/>
  </r>
  <r>
    <m/>
    <x v="1"/>
    <s v="Control 9"/>
    <s v="LapChol Case 0016 01"/>
    <n v="140"/>
    <n v="1"/>
    <x v="1"/>
    <x v="3"/>
    <m/>
    <s v="cautery"/>
    <s v="other"/>
    <s v="right"/>
  </r>
  <r>
    <m/>
    <x v="1"/>
    <s v="Control 9"/>
    <s v="LapChol Case 0016 01"/>
    <n v="150"/>
    <n v="1"/>
    <x v="1"/>
    <x v="3"/>
    <m/>
    <s v="cautery"/>
    <s v="energy-sharp dissection"/>
    <s v="right"/>
  </r>
  <r>
    <m/>
    <x v="1"/>
    <s v="Control 9"/>
    <s v="LapChol Case 0016 01"/>
    <n v="160"/>
    <n v="1"/>
    <x v="2"/>
    <x v="3"/>
    <m/>
    <s v="G"/>
    <s v="RG"/>
    <s v="left"/>
  </r>
  <r>
    <m/>
    <x v="1"/>
    <m/>
    <m/>
    <n v="160"/>
    <n v="2"/>
    <x v="1"/>
    <x v="3"/>
    <m/>
    <s v="cautery"/>
    <s v="energy-sharp dissection"/>
    <s v="right"/>
  </r>
  <r>
    <m/>
    <x v="1"/>
    <s v="Control 9"/>
    <s v="LapChol Case 0016 01"/>
    <n v="170"/>
    <n v="1"/>
    <x v="2"/>
    <x v="3"/>
    <m/>
    <s v="G"/>
    <s v="RG"/>
    <s v="left"/>
  </r>
  <r>
    <m/>
    <x v="1"/>
    <m/>
    <m/>
    <n v="170"/>
    <n v="2"/>
    <x v="1"/>
    <x v="3"/>
    <m/>
    <s v="cautery"/>
    <s v="energy-sharp dissection"/>
    <s v="right"/>
  </r>
  <r>
    <m/>
    <x v="1"/>
    <s v="Control 9"/>
    <s v="LapChol Case 0016 01"/>
    <n v="180"/>
    <n v="1"/>
    <x v="1"/>
    <x v="3"/>
    <m/>
    <s v="G"/>
    <s v="RG"/>
    <s v="left"/>
  </r>
  <r>
    <m/>
    <x v="1"/>
    <m/>
    <m/>
    <n v="180"/>
    <n v="2"/>
    <x v="1"/>
    <x v="3"/>
    <m/>
    <s v="cautery"/>
    <s v="energy-sharp dissection"/>
    <s v="right"/>
  </r>
  <r>
    <m/>
    <x v="1"/>
    <s v="Control 9"/>
    <s v="LapChol Case 0016 01"/>
    <n v="190"/>
    <n v="1"/>
    <x v="1"/>
    <x v="3"/>
    <m/>
    <s v="G"/>
    <s v="RG"/>
    <s v="left"/>
  </r>
  <r>
    <m/>
    <x v="1"/>
    <m/>
    <m/>
    <n v="190"/>
    <n v="2"/>
    <x v="1"/>
    <x v="3"/>
    <m/>
    <s v="cautery"/>
    <s v="energy-sharp dissection"/>
    <s v="right"/>
  </r>
  <r>
    <m/>
    <x v="1"/>
    <s v="Control 9"/>
    <s v="LapChol Case 0016 01"/>
    <n v="200"/>
    <n v="1"/>
    <x v="1"/>
    <x v="3"/>
    <m/>
    <s v="G"/>
    <s v="RG"/>
    <s v="left"/>
  </r>
  <r>
    <m/>
    <x v="1"/>
    <m/>
    <m/>
    <n v="200"/>
    <n v="2"/>
    <x v="3"/>
    <x v="2"/>
    <m/>
    <s v="cautery"/>
    <m/>
    <s v="right"/>
  </r>
  <r>
    <m/>
    <x v="1"/>
    <s v="Control 9"/>
    <s v="LapChol Case 0016 01"/>
    <n v="220"/>
    <n v="1"/>
    <x v="1"/>
    <x v="3"/>
    <m/>
    <s v="G"/>
    <s v="RG"/>
    <s v="left"/>
  </r>
  <r>
    <m/>
    <x v="1"/>
    <m/>
    <m/>
    <n v="220"/>
    <n v="2"/>
    <x v="1"/>
    <x v="3"/>
    <m/>
    <s v="cautery"/>
    <s v="energy-sharp dissection"/>
    <s v="right"/>
  </r>
  <r>
    <m/>
    <x v="1"/>
    <s v="Control 9"/>
    <s v="LapChol Case 0016 01"/>
    <n v="230"/>
    <n v="1"/>
    <x v="1"/>
    <x v="3"/>
    <m/>
    <s v="G"/>
    <s v="RG"/>
    <s v="left"/>
  </r>
  <r>
    <m/>
    <x v="1"/>
    <m/>
    <m/>
    <n v="230"/>
    <n v="2"/>
    <x v="2"/>
    <x v="3"/>
    <m/>
    <s v="cautery"/>
    <s v="other"/>
    <s v="right"/>
  </r>
  <r>
    <m/>
    <x v="1"/>
    <s v="Control 9"/>
    <s v="LapChol Case 0016 01"/>
    <n v="240"/>
    <n v="1"/>
    <x v="1"/>
    <x v="3"/>
    <m/>
    <s v="G"/>
    <s v="RG"/>
    <s v="left"/>
  </r>
  <r>
    <m/>
    <x v="1"/>
    <m/>
    <m/>
    <n v="240"/>
    <n v="2"/>
    <x v="2"/>
    <x v="3"/>
    <m/>
    <s v="cautery"/>
    <s v="energy-sharp dissection"/>
    <s v="right"/>
  </r>
  <r>
    <m/>
    <x v="1"/>
    <s v="Control 9"/>
    <s v="LapChol Case 0016 01"/>
    <n v="250"/>
    <n v="1"/>
    <x v="1"/>
    <x v="3"/>
    <m/>
    <s v="G"/>
    <s v="RG"/>
    <s v="left"/>
  </r>
  <r>
    <m/>
    <x v="1"/>
    <m/>
    <m/>
    <m/>
    <n v="2"/>
    <x v="2"/>
    <x v="3"/>
    <m/>
    <s v="cautery"/>
    <s v="other"/>
    <s v="right"/>
  </r>
  <r>
    <m/>
    <x v="1"/>
    <s v="Control 9"/>
    <s v="LapChol Case 0016 01"/>
    <n v="270"/>
    <n v="1"/>
    <x v="1"/>
    <x v="3"/>
    <m/>
    <s v="cautery"/>
    <s v="energy-sharp dissection"/>
    <s v="right"/>
  </r>
  <r>
    <m/>
    <x v="1"/>
    <s v="Control 9"/>
    <s v="LapChol Case 0016 01"/>
    <n v="300"/>
    <n v="1"/>
    <x v="1"/>
    <x v="3"/>
    <m/>
    <s v="G"/>
    <s v="RG"/>
    <s v="left"/>
  </r>
  <r>
    <m/>
    <x v="1"/>
    <m/>
    <m/>
    <n v="300"/>
    <n v="2"/>
    <x v="3"/>
    <x v="2"/>
    <m/>
    <s v="cautery"/>
    <m/>
    <s v="right"/>
  </r>
  <r>
    <m/>
    <x v="1"/>
    <s v="Control 9"/>
    <s v="LapChol Case 0016 01"/>
    <n v="310"/>
    <n v="1"/>
    <x v="1"/>
    <x v="3"/>
    <m/>
    <s v="G"/>
    <s v="RG"/>
    <s v="left"/>
  </r>
  <r>
    <m/>
    <x v="1"/>
    <m/>
    <m/>
    <n v="310"/>
    <n v="2"/>
    <x v="3"/>
    <x v="2"/>
    <m/>
    <s v="cautery"/>
    <m/>
    <s v="right"/>
  </r>
  <r>
    <m/>
    <x v="1"/>
    <s v="Control 10"/>
    <s v="LapChol Case 0018 10"/>
    <n v="0"/>
    <n v="1"/>
    <x v="2"/>
    <x v="3"/>
    <m/>
    <s v="G"/>
    <s v="RG"/>
    <s v="left"/>
  </r>
  <r>
    <m/>
    <x v="1"/>
    <m/>
    <m/>
    <n v="0"/>
    <n v="2"/>
    <x v="1"/>
    <x v="3"/>
    <m/>
    <s v="cautery"/>
    <s v="energy-sharp dissection"/>
    <s v="right"/>
  </r>
  <r>
    <m/>
    <x v="1"/>
    <s v="Control 10"/>
    <s v="LapChol Case 0018 10"/>
    <n v="10"/>
    <n v="1"/>
    <x v="1"/>
    <x v="3"/>
    <m/>
    <s v="cautery"/>
    <s v="energy-sharp dissection"/>
    <s v="right"/>
  </r>
  <r>
    <m/>
    <x v="1"/>
    <s v="Control 10"/>
    <s v="LapChol Case 0018 10"/>
    <n v="20"/>
    <n v="1"/>
    <x v="1"/>
    <x v="3"/>
    <m/>
    <s v="cautery"/>
    <s v="energy-sharp dissection"/>
    <s v="right"/>
  </r>
  <r>
    <m/>
    <x v="1"/>
    <s v="Control 10"/>
    <s v="LapChol Case 0018 10"/>
    <n v="30"/>
    <n v="1"/>
    <x v="1"/>
    <x v="3"/>
    <m/>
    <s v="cautery"/>
    <s v="energy-sharp dissection"/>
    <s v="right"/>
  </r>
  <r>
    <m/>
    <x v="1"/>
    <m/>
    <m/>
    <n v="30"/>
    <n v="2"/>
    <x v="2"/>
    <x v="3"/>
    <m/>
    <s v="G"/>
    <s v="RG"/>
    <s v="left"/>
  </r>
  <r>
    <m/>
    <x v="1"/>
    <s v="Control 10"/>
    <s v="LapChol Case 0018 10"/>
    <n v="70"/>
    <n v="1"/>
    <x v="1"/>
    <x v="3"/>
    <m/>
    <s v="G"/>
    <s v="RG"/>
    <s v="left"/>
  </r>
  <r>
    <m/>
    <x v="1"/>
    <s v="Control 10"/>
    <s v="LapChol Case 0018 10"/>
    <n v="80"/>
    <n v="1"/>
    <x v="1"/>
    <x v="3"/>
    <m/>
    <s v="G"/>
    <s v="RG"/>
    <s v="left"/>
  </r>
  <r>
    <m/>
    <x v="1"/>
    <m/>
    <m/>
    <n v="80"/>
    <n v="2"/>
    <x v="2"/>
    <x v="3"/>
    <m/>
    <s v="cautery"/>
    <s v="energy-sharp dissection"/>
    <s v="right"/>
  </r>
  <r>
    <m/>
    <x v="1"/>
    <s v="Control 10"/>
    <s v="LapChol Case 0018 10"/>
    <n v="110"/>
    <n v="1"/>
    <x v="1"/>
    <x v="3"/>
    <m/>
    <s v="G"/>
    <s v="RG"/>
    <s v="left"/>
  </r>
  <r>
    <m/>
    <x v="1"/>
    <m/>
    <m/>
    <n v="110"/>
    <n v="2"/>
    <x v="2"/>
    <x v="3"/>
    <m/>
    <s v="cautery"/>
    <s v="other"/>
    <s v="right"/>
  </r>
  <r>
    <m/>
    <x v="1"/>
    <s v="Control 10"/>
    <s v="LapChol Case 0018 10"/>
    <n v="120"/>
    <n v="1"/>
    <x v="1"/>
    <x v="3"/>
    <m/>
    <s v="G"/>
    <s v="RG"/>
    <s v="left"/>
  </r>
  <r>
    <m/>
    <x v="1"/>
    <m/>
    <m/>
    <n v="120"/>
    <n v="2"/>
    <x v="2"/>
    <x v="3"/>
    <m/>
    <s v="cautery"/>
    <s v="energy-sharp dissection"/>
    <s v="right"/>
  </r>
  <r>
    <m/>
    <x v="1"/>
    <s v="Control 10"/>
    <s v="LapChol Case 0018 10"/>
    <n v="130"/>
    <n v="1"/>
    <x v="1"/>
    <x v="3"/>
    <m/>
    <s v="G"/>
    <s v="other"/>
    <s v="left"/>
  </r>
  <r>
    <m/>
    <x v="1"/>
    <m/>
    <m/>
    <n v="130"/>
    <n v="2"/>
    <x v="2"/>
    <x v="3"/>
    <m/>
    <s v="cautery"/>
    <s v="other"/>
    <s v="right"/>
  </r>
  <r>
    <m/>
    <x v="1"/>
    <s v="Control 10"/>
    <s v="LapChol Case 0018 10"/>
    <n v="140"/>
    <n v="1"/>
    <x v="1"/>
    <x v="3"/>
    <m/>
    <s v="G"/>
    <s v="RG"/>
    <s v="left"/>
  </r>
  <r>
    <m/>
    <x v="1"/>
    <m/>
    <m/>
    <n v="140"/>
    <n v="2"/>
    <x v="3"/>
    <x v="2"/>
    <m/>
    <s v="cautery"/>
    <m/>
    <s v="right"/>
  </r>
  <r>
    <m/>
    <x v="1"/>
    <s v="Control 10"/>
    <s v="LapChol Case 0018 10"/>
    <n v="170"/>
    <n v="1"/>
    <x v="1"/>
    <x v="3"/>
    <m/>
    <s v="cautery"/>
    <s v="energy-sharp dissection"/>
    <s v="right"/>
  </r>
  <r>
    <m/>
    <x v="1"/>
    <m/>
    <m/>
    <n v="170"/>
    <n v="2"/>
    <x v="2"/>
    <x v="3"/>
    <m/>
    <s v="G"/>
    <s v="RG"/>
    <s v="left"/>
  </r>
  <r>
    <m/>
    <x v="1"/>
    <s v="Control 10"/>
    <s v="LapChol Case 0018 10"/>
    <n v="180"/>
    <n v="1"/>
    <x v="1"/>
    <x v="3"/>
    <m/>
    <s v="cautery"/>
    <s v="energy-sharp dissection"/>
    <s v="right"/>
  </r>
  <r>
    <m/>
    <x v="1"/>
    <m/>
    <m/>
    <n v="180"/>
    <n v="2"/>
    <x v="2"/>
    <x v="3"/>
    <m/>
    <s v="G"/>
    <s v="RG"/>
    <s v="left"/>
  </r>
  <r>
    <m/>
    <x v="1"/>
    <s v="Control 10"/>
    <s v="LapChol Case 0018 10"/>
    <n v="190"/>
    <n v="1"/>
    <x v="1"/>
    <x v="3"/>
    <m/>
    <s v="G"/>
    <s v="RG"/>
    <s v="left"/>
  </r>
  <r>
    <m/>
    <x v="1"/>
    <m/>
    <m/>
    <n v="190"/>
    <n v="2"/>
    <x v="2"/>
    <x v="3"/>
    <m/>
    <s v="cautery"/>
    <s v="energy-sharp dissection"/>
    <s v="right"/>
  </r>
  <r>
    <m/>
    <x v="1"/>
    <s v="Control 10"/>
    <s v="LapChol Case 0018 10"/>
    <n v="230"/>
    <n v="1"/>
    <x v="1"/>
    <x v="3"/>
    <m/>
    <s v="cautery"/>
    <s v="energy-sharp dissection"/>
    <s v="right"/>
  </r>
  <r>
    <m/>
    <x v="1"/>
    <s v="Control 10"/>
    <s v="LapChol Case 0018 10"/>
    <n v="240"/>
    <n v="1"/>
    <x v="1"/>
    <x v="3"/>
    <m/>
    <s v="cautery"/>
    <s v="other"/>
    <s v="right"/>
  </r>
  <r>
    <m/>
    <x v="1"/>
    <s v="Control 10"/>
    <s v="LapChol Case 0018 10"/>
    <n v="250"/>
    <n v="1"/>
    <x v="1"/>
    <x v="3"/>
    <m/>
    <s v="cautery"/>
    <s v="other"/>
    <s v="right"/>
  </r>
  <r>
    <m/>
    <x v="1"/>
    <s v="Control 10"/>
    <s v="LapChol Case 0018 10"/>
    <n v="260"/>
    <n v="1"/>
    <x v="1"/>
    <x v="3"/>
    <m/>
    <s v="G"/>
    <s v="other"/>
    <s v="left"/>
  </r>
  <r>
    <m/>
    <x v="1"/>
    <s v="Control 10"/>
    <s v="LapChol Case 0018 10"/>
    <n v="270"/>
    <n v="1"/>
    <x v="1"/>
    <x v="3"/>
    <m/>
    <s v="G"/>
    <s v="other"/>
    <s v="left"/>
  </r>
  <r>
    <m/>
    <x v="1"/>
    <m/>
    <m/>
    <n v="270"/>
    <n v="2"/>
    <x v="3"/>
    <x v="2"/>
    <m/>
    <s v="cautery"/>
    <m/>
    <s v="right"/>
  </r>
  <r>
    <m/>
    <x v="1"/>
    <s v="Control 10"/>
    <s v="LapChol Case 0018 10"/>
    <n v="290"/>
    <n v="1"/>
    <x v="1"/>
    <x v="3"/>
    <m/>
    <s v="cautery"/>
    <s v="other"/>
    <s v="right"/>
  </r>
  <r>
    <m/>
    <x v="1"/>
    <s v="Control 10"/>
    <s v="LapChol Case 0018 10"/>
    <n v="330"/>
    <n v="1"/>
    <x v="1"/>
    <x v="3"/>
    <m/>
    <s v="G"/>
    <s v="RG"/>
    <s v="left"/>
  </r>
  <r>
    <m/>
    <x v="1"/>
    <m/>
    <m/>
    <n v="330"/>
    <n v="2"/>
    <x v="2"/>
    <x v="3"/>
    <m/>
    <s v="cautery"/>
    <s v="other"/>
    <s v="right"/>
  </r>
  <r>
    <m/>
    <x v="1"/>
    <s v="Control 10"/>
    <s v="LapChol Case 0018 11"/>
    <n v="0"/>
    <n v="1"/>
    <x v="1"/>
    <x v="3"/>
    <m/>
    <s v="G"/>
    <s v="RG"/>
    <s v="left"/>
  </r>
  <r>
    <m/>
    <x v="1"/>
    <m/>
    <m/>
    <n v="0"/>
    <n v="2"/>
    <x v="3"/>
    <x v="2"/>
    <m/>
    <s v="cautery"/>
    <m/>
    <s v="right"/>
  </r>
  <r>
    <m/>
    <x v="1"/>
    <s v="Control 10"/>
    <s v="LapChol Case 0018 11"/>
    <n v="40"/>
    <n v="1"/>
    <x v="4"/>
    <x v="2"/>
    <m/>
    <s v="none"/>
    <m/>
    <m/>
  </r>
  <r>
    <m/>
    <x v="1"/>
    <m/>
    <m/>
    <n v="40"/>
    <n v="2"/>
    <x v="3"/>
    <x v="2"/>
    <m/>
    <s v="cautery"/>
    <m/>
    <s v="right"/>
  </r>
  <r>
    <m/>
    <x v="1"/>
    <s v="Control 10"/>
    <s v="LapChol Case 0018 11"/>
    <n v="50"/>
    <n v="1"/>
    <x v="1"/>
    <x v="3"/>
    <m/>
    <s v="cautery"/>
    <s v="energy-sharp dissection"/>
    <s v="right"/>
  </r>
  <r>
    <m/>
    <x v="1"/>
    <m/>
    <m/>
    <n v="50"/>
    <n v="2"/>
    <x v="2"/>
    <x v="3"/>
    <m/>
    <s v="G"/>
    <s v="RG"/>
    <s v="left"/>
  </r>
  <r>
    <m/>
    <x v="1"/>
    <s v="Control 10"/>
    <s v="LapChol Case 0018 11"/>
    <n v="90"/>
    <n v="1"/>
    <x v="4"/>
    <x v="2"/>
    <m/>
    <s v="none"/>
    <m/>
    <m/>
  </r>
  <r>
    <m/>
    <x v="1"/>
    <m/>
    <m/>
    <n v="90"/>
    <n v="2"/>
    <x v="2"/>
    <x v="3"/>
    <m/>
    <s v="cautery"/>
    <s v="energy-sharp dissection"/>
    <s v="right"/>
  </r>
  <r>
    <m/>
    <x v="1"/>
    <s v="Control 10"/>
    <s v="LapChol Case 0018 11"/>
    <n v="110"/>
    <n v="1"/>
    <x v="1"/>
    <x v="3"/>
    <m/>
    <s v="cautery"/>
    <s v="other"/>
    <s v="right"/>
  </r>
  <r>
    <m/>
    <x v="1"/>
    <s v="Control 10"/>
    <s v="LapChol Case 0018 11"/>
    <n v="140"/>
    <n v="1"/>
    <x v="1"/>
    <x v="3"/>
    <m/>
    <s v="G"/>
    <s v="RG"/>
    <s v="left"/>
  </r>
  <r>
    <m/>
    <x v="1"/>
    <s v="Control 10"/>
    <s v="LapChol Case 0018 11"/>
    <n v="200"/>
    <n v="1"/>
    <x v="1"/>
    <x v="3"/>
    <m/>
    <s v="G"/>
    <s v="RG"/>
    <s v="left"/>
  </r>
  <r>
    <m/>
    <x v="1"/>
    <s v="Control 10"/>
    <s v="LapChol Case 0018 11"/>
    <n v="220"/>
    <n v="1"/>
    <x v="4"/>
    <x v="2"/>
    <m/>
    <s v="none"/>
    <m/>
    <m/>
  </r>
  <r>
    <m/>
    <x v="1"/>
    <m/>
    <m/>
    <n v="220"/>
    <n v="2"/>
    <x v="3"/>
    <x v="2"/>
    <m/>
    <s v="cautery"/>
    <m/>
    <s v="right"/>
  </r>
  <r>
    <m/>
    <x v="1"/>
    <s v="Control 10"/>
    <s v="LapChol Case 0018 11"/>
    <n v="270"/>
    <n v="1"/>
    <x v="4"/>
    <x v="2"/>
    <m/>
    <s v="cautery"/>
    <m/>
    <s v="right"/>
  </r>
  <r>
    <m/>
    <x v="1"/>
    <s v="Control 10"/>
    <s v="LapChol Case 0018 11"/>
    <n v="280"/>
    <n v="1"/>
    <x v="1"/>
    <x v="3"/>
    <m/>
    <s v="G"/>
    <s v="RG"/>
    <s v="left"/>
  </r>
  <r>
    <m/>
    <x v="1"/>
    <m/>
    <m/>
    <n v="280"/>
    <n v="2"/>
    <x v="3"/>
    <x v="2"/>
    <m/>
    <s v="G2"/>
    <m/>
    <s v="left"/>
  </r>
  <r>
    <m/>
    <x v="1"/>
    <s v="Control 10"/>
    <s v="LapChol Case 0018 11"/>
    <n v="290"/>
    <n v="1"/>
    <x v="1"/>
    <x v="3"/>
    <m/>
    <s v="Suction"/>
    <s v="suction"/>
    <s v="right"/>
  </r>
  <r>
    <m/>
    <x v="1"/>
    <s v="Control 10"/>
    <s v="LapChol Case 0018 11"/>
    <n v="320"/>
    <n v="1"/>
    <x v="4"/>
    <x v="2"/>
    <m/>
    <s v="disector"/>
    <m/>
    <s v="right"/>
  </r>
  <r>
    <m/>
    <x v="1"/>
    <s v="Control 10"/>
    <s v="LapChol Case 0018 11"/>
    <n v="330"/>
    <n v="1"/>
    <x v="1"/>
    <x v="3"/>
    <m/>
    <s v="dissector"/>
    <s v="blunt dissection"/>
    <s v="right"/>
  </r>
  <r>
    <m/>
    <x v="1"/>
    <s v="Control 11"/>
    <s v="LapChol Case 0019 02"/>
    <n v="60"/>
    <n v="1"/>
    <x v="1"/>
    <x v="3"/>
    <m/>
    <s v="cautery"/>
    <s v="other"/>
    <s v="right"/>
  </r>
  <r>
    <m/>
    <x v="1"/>
    <m/>
    <m/>
    <n v="60"/>
    <n v="2"/>
    <x v="2"/>
    <x v="3"/>
    <m/>
    <s v="G"/>
    <s v="RG"/>
    <s v="left"/>
  </r>
  <r>
    <m/>
    <x v="1"/>
    <s v="Control 11"/>
    <s v="LapChol Case 0019 02"/>
    <n v="70"/>
    <n v="1"/>
    <x v="1"/>
    <x v="3"/>
    <m/>
    <s v="G"/>
    <s v="RG"/>
    <s v="left"/>
  </r>
  <r>
    <m/>
    <x v="1"/>
    <m/>
    <m/>
    <n v="70"/>
    <n v="2"/>
    <x v="3"/>
    <x v="2"/>
    <m/>
    <s v="cautery"/>
    <m/>
    <s v="right"/>
  </r>
  <r>
    <m/>
    <x v="1"/>
    <s v="Control 11"/>
    <s v="LapChol Case 0019 02"/>
    <n v="320"/>
    <n v="1"/>
    <x v="1"/>
    <x v="3"/>
    <m/>
    <s v="cautery"/>
    <s v="other"/>
    <s v="right"/>
  </r>
  <r>
    <m/>
    <x v="1"/>
    <s v="Control 11"/>
    <s v="LapChol Case 0019 03"/>
    <n v="40"/>
    <n v="1"/>
    <x v="4"/>
    <x v="2"/>
    <m/>
    <s v="none"/>
    <m/>
    <m/>
  </r>
  <r>
    <m/>
    <x v="1"/>
    <m/>
    <m/>
    <n v="40"/>
    <n v="2"/>
    <x v="2"/>
    <x v="3"/>
    <m/>
    <s v="cautery"/>
    <s v="other"/>
    <s v="right"/>
  </r>
  <r>
    <m/>
    <x v="1"/>
    <s v="Control 11"/>
    <s v="LapChol Case 0019 03"/>
    <n v="80"/>
    <n v="1"/>
    <x v="1"/>
    <x v="3"/>
    <m/>
    <s v="Suction"/>
    <s v="other"/>
    <s v="right"/>
  </r>
  <r>
    <m/>
    <x v="1"/>
    <m/>
    <m/>
    <n v="80"/>
    <n v="2"/>
    <x v="2"/>
    <x v="3"/>
    <m/>
    <s v="G"/>
    <s v="RG"/>
    <s v="left"/>
  </r>
  <r>
    <m/>
    <x v="1"/>
    <s v="Control 11"/>
    <s v="LapChol Case 0019 03"/>
    <n v="190"/>
    <n v="1"/>
    <x v="1"/>
    <x v="3"/>
    <m/>
    <s v="G"/>
    <s v="RG"/>
    <s v="left"/>
  </r>
  <r>
    <m/>
    <x v="1"/>
    <m/>
    <m/>
    <n v="190"/>
    <n v="2"/>
    <x v="3"/>
    <x v="2"/>
    <m/>
    <s v="cautery"/>
    <m/>
    <s v="right"/>
  </r>
  <r>
    <m/>
    <x v="1"/>
    <s v="Control 11"/>
    <s v="LapChol Case 0019 03"/>
    <n v="200"/>
    <n v="1"/>
    <x v="1"/>
    <x v="3"/>
    <m/>
    <s v="G"/>
    <s v="RG"/>
    <s v="left"/>
  </r>
  <r>
    <m/>
    <x v="1"/>
    <m/>
    <m/>
    <n v="200"/>
    <n v="2"/>
    <x v="2"/>
    <x v="3"/>
    <m/>
    <s v="cautery"/>
    <s v="other"/>
    <s v="right"/>
  </r>
  <r>
    <m/>
    <x v="1"/>
    <s v="Control 11"/>
    <s v="LapChol Case 0019 03"/>
    <n v="240"/>
    <n v="1"/>
    <x v="4"/>
    <x v="2"/>
    <m/>
    <s v="none"/>
    <m/>
    <m/>
  </r>
  <r>
    <m/>
    <x v="1"/>
    <m/>
    <m/>
    <n v="240"/>
    <n v="2"/>
    <x v="3"/>
    <x v="2"/>
    <m/>
    <s v="G"/>
    <m/>
    <s v="left"/>
  </r>
  <r>
    <m/>
    <x v="1"/>
    <s v="Control 12"/>
    <s v="LapChol Case 0020 02"/>
    <n v="0"/>
    <n v="1"/>
    <x v="0"/>
    <x v="0"/>
    <s v="not a target"/>
    <m/>
    <m/>
    <m/>
  </r>
  <r>
    <m/>
    <x v="1"/>
    <s v="Control 12"/>
    <s v="LapChol Case 0020 02"/>
    <n v="40"/>
    <n v="1"/>
    <x v="1"/>
    <x v="3"/>
    <m/>
    <s v="G"/>
    <s v="RG"/>
    <s v="left"/>
  </r>
  <r>
    <m/>
    <x v="1"/>
    <s v="Control 12"/>
    <s v="LapChol Case 0020 02"/>
    <n v="80"/>
    <n v="1"/>
    <x v="1"/>
    <x v="3"/>
    <m/>
    <s v="G"/>
    <s v="RG"/>
    <s v="left"/>
  </r>
  <r>
    <m/>
    <x v="1"/>
    <s v="Control 12"/>
    <s v="LapChol Case 0020 02"/>
    <n v="110"/>
    <n v="1"/>
    <x v="1"/>
    <x v="3"/>
    <m/>
    <s v="G"/>
    <s v="RG"/>
    <s v="left"/>
  </r>
  <r>
    <m/>
    <x v="1"/>
    <m/>
    <m/>
    <n v="110"/>
    <n v="2"/>
    <x v="2"/>
    <x v="3"/>
    <m/>
    <s v="G2"/>
    <s v="RG"/>
    <s v="left"/>
  </r>
  <r>
    <m/>
    <x v="1"/>
    <s v="Control 12"/>
    <s v="LapChol Case 0020 02"/>
    <n v="150"/>
    <n v="1"/>
    <x v="1"/>
    <x v="3"/>
    <m/>
    <s v="cautery"/>
    <s v="energy-sharp dissection"/>
    <s v="right"/>
  </r>
  <r>
    <m/>
    <x v="1"/>
    <m/>
    <m/>
    <n v="150"/>
    <n v="2"/>
    <x v="2"/>
    <x v="3"/>
    <m/>
    <s v="G"/>
    <s v="RG"/>
    <s v="left"/>
  </r>
  <r>
    <m/>
    <x v="1"/>
    <s v="Control 12"/>
    <s v="LapChol Case 0020 02"/>
    <n v="170"/>
    <n v="1"/>
    <x v="1"/>
    <x v="3"/>
    <m/>
    <s v="G"/>
    <s v="RG"/>
    <s v="left"/>
  </r>
  <r>
    <m/>
    <x v="1"/>
    <m/>
    <m/>
    <n v="170"/>
    <n v="2"/>
    <x v="3"/>
    <x v="2"/>
    <m/>
    <s v="cautery"/>
    <m/>
    <s v="right"/>
  </r>
  <r>
    <m/>
    <x v="1"/>
    <s v="Control 12"/>
    <s v="LapChol Case 0020 02"/>
    <n v="180"/>
    <n v="1"/>
    <x v="1"/>
    <x v="3"/>
    <m/>
    <s v="G"/>
    <s v="RG"/>
    <s v="left"/>
  </r>
  <r>
    <m/>
    <x v="1"/>
    <m/>
    <m/>
    <n v="180"/>
    <n v="2"/>
    <x v="1"/>
    <x v="3"/>
    <m/>
    <s v="cautery"/>
    <s v="energy-sharp dissection"/>
    <s v="right"/>
  </r>
  <r>
    <m/>
    <x v="1"/>
    <s v="Control 12"/>
    <s v="LapChol Case 0020 02"/>
    <n v="190"/>
    <n v="1"/>
    <x v="1"/>
    <x v="3"/>
    <m/>
    <s v="cautery"/>
    <s v="energy-sharp dissection"/>
    <s v="right"/>
  </r>
  <r>
    <m/>
    <x v="1"/>
    <m/>
    <m/>
    <n v="190"/>
    <n v="2"/>
    <x v="2"/>
    <x v="3"/>
    <m/>
    <s v="G"/>
    <s v="RG"/>
    <s v="left"/>
  </r>
  <r>
    <m/>
    <x v="1"/>
    <s v="Control 12"/>
    <s v="LapChol Case 0020 02"/>
    <n v="210"/>
    <n v="1"/>
    <x v="1"/>
    <x v="3"/>
    <m/>
    <s v="cautery"/>
    <s v="other"/>
    <s v="right"/>
  </r>
  <r>
    <m/>
    <x v="1"/>
    <m/>
    <m/>
    <n v="210"/>
    <n v="2"/>
    <x v="1"/>
    <x v="3"/>
    <m/>
    <s v="G"/>
    <s v="RG"/>
    <s v="left"/>
  </r>
  <r>
    <m/>
    <x v="1"/>
    <s v="Control 12"/>
    <s v="LapChol Case 0020 02"/>
    <n v="220"/>
    <n v="1"/>
    <x v="1"/>
    <x v="3"/>
    <m/>
    <s v="cautery"/>
    <s v="other"/>
    <s v="right"/>
  </r>
  <r>
    <m/>
    <x v="1"/>
    <s v="Control 12"/>
    <s v="LapChol Case 0020 02"/>
    <n v="230"/>
    <n v="1"/>
    <x v="1"/>
    <x v="3"/>
    <m/>
    <s v="cautery"/>
    <s v="energy-sharp dissection"/>
    <s v="right"/>
  </r>
  <r>
    <m/>
    <x v="1"/>
    <m/>
    <m/>
    <n v="230"/>
    <n v="2"/>
    <x v="2"/>
    <x v="3"/>
    <m/>
    <s v="G"/>
    <s v="RG"/>
    <s v="left"/>
  </r>
  <r>
    <m/>
    <x v="1"/>
    <s v="Control 12"/>
    <s v="LapChol Case 0020 02"/>
    <n v="240"/>
    <n v="1"/>
    <x v="1"/>
    <x v="3"/>
    <m/>
    <s v="cautery"/>
    <s v="energy-sharp dissection"/>
    <s v="right"/>
  </r>
  <r>
    <m/>
    <x v="1"/>
    <m/>
    <m/>
    <n v="240"/>
    <n v="2"/>
    <x v="2"/>
    <x v="3"/>
    <m/>
    <s v="G"/>
    <s v="RG"/>
    <s v="left"/>
  </r>
  <r>
    <m/>
    <x v="1"/>
    <s v="Control 12"/>
    <s v="LapChol Case 0020 02"/>
    <n v="250"/>
    <n v="1"/>
    <x v="1"/>
    <x v="3"/>
    <m/>
    <s v="cautery"/>
    <s v="energy-sharp dissection"/>
    <s v="right"/>
  </r>
  <r>
    <m/>
    <x v="1"/>
    <m/>
    <m/>
    <n v="250"/>
    <n v="2"/>
    <x v="2"/>
    <x v="3"/>
    <m/>
    <s v="G"/>
    <s v="RG"/>
    <s v="left"/>
  </r>
  <r>
    <m/>
    <x v="1"/>
    <s v="Control 12"/>
    <s v="LapChol Case 0020 02"/>
    <n v="260"/>
    <n v="1"/>
    <x v="1"/>
    <x v="3"/>
    <m/>
    <s v="G"/>
    <s v="RG"/>
    <s v="left"/>
  </r>
  <r>
    <m/>
    <x v="1"/>
    <m/>
    <m/>
    <n v="260"/>
    <n v="2"/>
    <x v="1"/>
    <x v="3"/>
    <m/>
    <s v="G2"/>
    <s v="RG"/>
    <s v="left"/>
  </r>
  <r>
    <m/>
    <x v="1"/>
    <m/>
    <m/>
    <n v="260"/>
    <n v="3"/>
    <x v="1"/>
    <x v="3"/>
    <m/>
    <s v="cautery"/>
    <s v="energy-sharp dissection"/>
    <s v="right"/>
  </r>
  <r>
    <m/>
    <x v="1"/>
    <s v="Control 12"/>
    <s v="LapChol Case 0020 02"/>
    <n v="270"/>
    <n v="1"/>
    <x v="1"/>
    <x v="3"/>
    <m/>
    <s v="G"/>
    <s v="RG"/>
    <s v="left"/>
  </r>
  <r>
    <m/>
    <x v="1"/>
    <m/>
    <m/>
    <n v="270"/>
    <n v="2"/>
    <x v="2"/>
    <x v="3"/>
    <m/>
    <s v="cautery"/>
    <s v="energy-sharp dissection"/>
    <s v="right"/>
  </r>
  <r>
    <m/>
    <x v="1"/>
    <s v="Control 12"/>
    <s v="LapChol Case 0020 02"/>
    <n v="280"/>
    <n v="1"/>
    <x v="1"/>
    <x v="3"/>
    <m/>
    <s v="G"/>
    <s v="RG"/>
    <s v="left"/>
  </r>
  <r>
    <m/>
    <x v="1"/>
    <m/>
    <m/>
    <n v="280"/>
    <n v="2"/>
    <x v="1"/>
    <x v="3"/>
    <m/>
    <s v="cautery"/>
    <s v="energy-sharp dissection"/>
    <s v="right"/>
  </r>
  <r>
    <m/>
    <x v="1"/>
    <s v="Control 12"/>
    <s v="LapChol Case 0020 02"/>
    <n v="290"/>
    <n v="1"/>
    <x v="1"/>
    <x v="3"/>
    <m/>
    <s v="G"/>
    <s v="RG"/>
    <s v="left"/>
  </r>
  <r>
    <m/>
    <x v="1"/>
    <m/>
    <m/>
    <n v="290"/>
    <n v="2"/>
    <x v="1"/>
    <x v="3"/>
    <m/>
    <s v="cautery"/>
    <s v="energy-sharp dissection"/>
    <s v="right"/>
  </r>
  <r>
    <m/>
    <x v="1"/>
    <s v="Control 12"/>
    <s v="LapChol Case 0020 02"/>
    <n v="300"/>
    <n v="1"/>
    <x v="1"/>
    <x v="3"/>
    <m/>
    <s v="cautery"/>
    <s v="energy-sharp dissection"/>
    <s v="right"/>
  </r>
  <r>
    <m/>
    <x v="1"/>
    <m/>
    <m/>
    <n v="300"/>
    <n v="2"/>
    <x v="1"/>
    <x v="3"/>
    <m/>
    <s v="G"/>
    <s v="RG"/>
    <s v="left"/>
  </r>
  <r>
    <m/>
    <x v="1"/>
    <s v="Control 12"/>
    <s v="LapChol Case 0020 02"/>
    <n v="310"/>
    <n v="1"/>
    <x v="1"/>
    <x v="3"/>
    <m/>
    <s v="cautery"/>
    <s v="energy-sharp dissection"/>
    <s v="right"/>
  </r>
  <r>
    <m/>
    <x v="1"/>
    <m/>
    <m/>
    <n v="310"/>
    <n v="2"/>
    <x v="1"/>
    <x v="3"/>
    <m/>
    <s v="G"/>
    <s v="RG"/>
    <s v="left"/>
  </r>
  <r>
    <m/>
    <x v="1"/>
    <s v="Control 12"/>
    <s v="LapChol Case 0020 02"/>
    <n v="320"/>
    <n v="1"/>
    <x v="1"/>
    <x v="3"/>
    <m/>
    <s v="G"/>
    <s v="RG"/>
    <s v="left"/>
  </r>
  <r>
    <m/>
    <x v="1"/>
    <s v="Control 12"/>
    <s v="LapChol Case 0020 02"/>
    <n v="330"/>
    <n v="1"/>
    <x v="1"/>
    <x v="3"/>
    <m/>
    <s v="G"/>
    <s v="RG"/>
    <s v="left"/>
  </r>
  <r>
    <m/>
    <x v="1"/>
    <m/>
    <m/>
    <n v="330"/>
    <n v="2"/>
    <x v="1"/>
    <x v="3"/>
    <m/>
    <s v="cautery"/>
    <s v="energy-sharp dissection"/>
    <s v="right"/>
  </r>
  <r>
    <m/>
    <x v="1"/>
    <s v="Control 12"/>
    <s v="LapChol Case 0020 03"/>
    <n v="0"/>
    <n v="1"/>
    <x v="1"/>
    <x v="3"/>
    <m/>
    <s v="G"/>
    <s v="RG"/>
    <s v="left"/>
  </r>
  <r>
    <m/>
    <x v="1"/>
    <m/>
    <m/>
    <n v="0"/>
    <n v="2"/>
    <x v="1"/>
    <x v="3"/>
    <m/>
    <s v="cautery"/>
    <s v="energy-sharp dissection"/>
    <s v="right"/>
  </r>
  <r>
    <m/>
    <x v="1"/>
    <s v="Control 12"/>
    <s v="LapChol Case 0020 03"/>
    <n v="10"/>
    <n v="1"/>
    <x v="1"/>
    <x v="3"/>
    <m/>
    <s v="G"/>
    <s v="RG"/>
    <s v="left"/>
  </r>
  <r>
    <m/>
    <x v="1"/>
    <m/>
    <m/>
    <n v="10"/>
    <n v="2"/>
    <x v="2"/>
    <x v="3"/>
    <m/>
    <s v="cautery"/>
    <s v="other"/>
    <s v="right"/>
  </r>
  <r>
    <m/>
    <x v="1"/>
    <s v="Control 12"/>
    <s v="LapChol Case 0020 03"/>
    <n v="20"/>
    <n v="1"/>
    <x v="1"/>
    <x v="3"/>
    <m/>
    <s v="G"/>
    <s v="RG"/>
    <s v="left"/>
  </r>
  <r>
    <m/>
    <x v="1"/>
    <m/>
    <m/>
    <n v="20"/>
    <n v="2"/>
    <x v="1"/>
    <x v="3"/>
    <m/>
    <s v="cautery"/>
    <s v="energy-sharp dissection"/>
    <s v="right"/>
  </r>
  <r>
    <m/>
    <x v="1"/>
    <s v="Control 12"/>
    <s v="LapChol Case 0020 03"/>
    <n v="30"/>
    <n v="1"/>
    <x v="1"/>
    <x v="3"/>
    <m/>
    <s v="G"/>
    <s v="RG"/>
    <s v="left"/>
  </r>
  <r>
    <m/>
    <x v="1"/>
    <m/>
    <m/>
    <n v="30"/>
    <n v="2"/>
    <x v="1"/>
    <x v="3"/>
    <m/>
    <s v="cautery"/>
    <s v="other"/>
    <s v="right"/>
  </r>
  <r>
    <m/>
    <x v="1"/>
    <s v="Control 12"/>
    <s v="LapChol Case 0020 03"/>
    <n v="40"/>
    <n v="1"/>
    <x v="1"/>
    <x v="3"/>
    <m/>
    <s v="G"/>
    <s v="RG"/>
    <s v="left"/>
  </r>
  <r>
    <m/>
    <x v="1"/>
    <m/>
    <m/>
    <n v="40"/>
    <n v="2"/>
    <x v="1"/>
    <x v="3"/>
    <m/>
    <s v="cautery"/>
    <s v="other"/>
    <s v="right"/>
  </r>
  <r>
    <m/>
    <x v="1"/>
    <s v="Control 12"/>
    <s v="LapChol Case 0020 03"/>
    <n v="50"/>
    <n v="1"/>
    <x v="1"/>
    <x v="3"/>
    <m/>
    <s v="G"/>
    <s v="RG"/>
    <s v="left"/>
  </r>
  <r>
    <m/>
    <x v="1"/>
    <m/>
    <m/>
    <n v="50"/>
    <n v="2"/>
    <x v="1"/>
    <x v="3"/>
    <m/>
    <s v="cautery"/>
    <s v="other"/>
    <s v="right"/>
  </r>
  <r>
    <m/>
    <x v="1"/>
    <s v="Control 12"/>
    <s v="LapChol Case 0020 03"/>
    <n v="60"/>
    <n v="1"/>
    <x v="1"/>
    <x v="3"/>
    <m/>
    <s v="G"/>
    <s v="RG"/>
    <s v="left"/>
  </r>
  <r>
    <m/>
    <x v="1"/>
    <m/>
    <m/>
    <n v="60"/>
    <n v="2"/>
    <x v="2"/>
    <x v="3"/>
    <m/>
    <s v="cautery"/>
    <s v="other"/>
    <s v="right"/>
  </r>
  <r>
    <m/>
    <x v="1"/>
    <s v="Control 12"/>
    <s v="LapChol Case 0020 03"/>
    <n v="70"/>
    <n v="1"/>
    <x v="1"/>
    <x v="3"/>
    <m/>
    <s v="G"/>
    <s v="RG"/>
    <s v="left"/>
  </r>
  <r>
    <m/>
    <x v="1"/>
    <s v="Control 12"/>
    <s v="LapChol Case 0020 03"/>
    <n v="80"/>
    <n v="1"/>
    <x v="1"/>
    <x v="3"/>
    <m/>
    <s v="G"/>
    <s v="RG"/>
    <s v="left"/>
  </r>
  <r>
    <m/>
    <x v="1"/>
    <m/>
    <m/>
    <n v="80"/>
    <n v="2"/>
    <x v="3"/>
    <x v="2"/>
    <m/>
    <s v="dissector"/>
    <m/>
    <s v="right"/>
  </r>
  <r>
    <m/>
    <x v="1"/>
    <s v="Control 12"/>
    <s v="LapChol Case 0020 03"/>
    <n v="100"/>
    <n v="1"/>
    <x v="1"/>
    <x v="3"/>
    <m/>
    <s v="dissector"/>
    <s v="blunt dissection"/>
    <s v="right"/>
  </r>
  <r>
    <m/>
    <x v="1"/>
    <s v="Control 12"/>
    <s v="LapChol Case 0020 03"/>
    <n v="110"/>
    <n v="1"/>
    <x v="1"/>
    <x v="3"/>
    <m/>
    <s v="G"/>
    <s v="RG"/>
    <s v="left"/>
  </r>
  <r>
    <m/>
    <x v="1"/>
    <s v="Control 12"/>
    <s v="LapChol Case 0020 03"/>
    <n v="120"/>
    <n v="1"/>
    <x v="1"/>
    <x v="3"/>
    <m/>
    <s v="G"/>
    <s v="RG"/>
    <s v="left"/>
  </r>
  <r>
    <m/>
    <x v="1"/>
    <m/>
    <m/>
    <n v="120"/>
    <n v="2"/>
    <x v="2"/>
    <x v="3"/>
    <m/>
    <s v="dissector"/>
    <s v="blunt dissection"/>
    <s v="right"/>
  </r>
  <r>
    <m/>
    <x v="1"/>
    <s v="Control 12"/>
    <s v="LapChol Case 0020 03"/>
    <n v="130"/>
    <n v="1"/>
    <x v="1"/>
    <x v="3"/>
    <m/>
    <s v="G"/>
    <s v="RG"/>
    <s v="left"/>
  </r>
  <r>
    <m/>
    <x v="1"/>
    <s v="Control 12"/>
    <s v="LapChol Case 0020 03"/>
    <n v="140"/>
    <n v="1"/>
    <x v="1"/>
    <x v="3"/>
    <m/>
    <s v="G"/>
    <s v="RG"/>
    <s v="left"/>
  </r>
  <r>
    <m/>
    <x v="1"/>
    <m/>
    <m/>
    <n v="140"/>
    <n v="2"/>
    <x v="3"/>
    <x v="2"/>
    <m/>
    <s v="Suction"/>
    <m/>
    <s v="right"/>
  </r>
  <r>
    <m/>
    <x v="1"/>
    <s v="Control 12"/>
    <s v="LapChol Case 0020 03"/>
    <n v="150"/>
    <n v="1"/>
    <x v="1"/>
    <x v="3"/>
    <m/>
    <s v="G"/>
    <s v="RG"/>
    <s v="left"/>
  </r>
  <r>
    <m/>
    <x v="1"/>
    <m/>
    <m/>
    <n v="150"/>
    <n v="2"/>
    <x v="2"/>
    <x v="3"/>
    <m/>
    <s v="Suction"/>
    <s v="blunt dissection"/>
    <s v="right"/>
  </r>
  <r>
    <m/>
    <x v="1"/>
    <s v="Control 12"/>
    <s v="LapChol Case 0020 03"/>
    <n v="160"/>
    <n v="1"/>
    <x v="1"/>
    <x v="3"/>
    <m/>
    <s v="G"/>
    <s v="RG"/>
    <s v="left"/>
  </r>
  <r>
    <m/>
    <x v="1"/>
    <m/>
    <m/>
    <n v="160"/>
    <n v="2"/>
    <x v="1"/>
    <x v="1"/>
    <m/>
    <s v="Suction"/>
    <s v="other"/>
    <s v="right"/>
  </r>
  <r>
    <m/>
    <x v="1"/>
    <s v="Control 12"/>
    <s v="LapChol Case 0020 03"/>
    <n v="170"/>
    <n v="1"/>
    <x v="1"/>
    <x v="3"/>
    <m/>
    <s v="G"/>
    <s v="RG"/>
    <s v="left"/>
  </r>
  <r>
    <m/>
    <x v="1"/>
    <s v="Control 12"/>
    <s v="LapChol Case 0020 03"/>
    <n v="180"/>
    <n v="1"/>
    <x v="1"/>
    <x v="3"/>
    <m/>
    <s v="G"/>
    <s v="RG"/>
    <s v="left"/>
  </r>
  <r>
    <m/>
    <x v="1"/>
    <m/>
    <m/>
    <n v="180"/>
    <n v="2"/>
    <x v="1"/>
    <x v="3"/>
    <m/>
    <s v="cautery"/>
    <s v="other"/>
    <s v="right"/>
  </r>
  <r>
    <m/>
    <x v="1"/>
    <s v="Control 12"/>
    <s v="LapChol Case 0020 03"/>
    <n v="190"/>
    <n v="1"/>
    <x v="1"/>
    <x v="3"/>
    <m/>
    <s v="G"/>
    <s v="RG"/>
    <s v="left"/>
  </r>
  <r>
    <m/>
    <x v="1"/>
    <m/>
    <m/>
    <n v="190"/>
    <n v="2"/>
    <x v="1"/>
    <x v="3"/>
    <m/>
    <s v="cautery"/>
    <s v="other"/>
    <s v="right"/>
  </r>
  <r>
    <m/>
    <x v="1"/>
    <s v="Control 12"/>
    <s v="LapChol Case 0020 03"/>
    <n v="200"/>
    <n v="1"/>
    <x v="1"/>
    <x v="3"/>
    <m/>
    <s v="G"/>
    <s v="RG"/>
    <s v="left"/>
  </r>
  <r>
    <m/>
    <x v="1"/>
    <m/>
    <m/>
    <n v="200"/>
    <n v="2"/>
    <x v="1"/>
    <x v="3"/>
    <m/>
    <s v="cautery"/>
    <s v="other"/>
    <s v="right"/>
  </r>
  <r>
    <m/>
    <x v="1"/>
    <s v="Control 12"/>
    <s v="LapChol Case 0020 03"/>
    <n v="210"/>
    <n v="1"/>
    <x v="1"/>
    <x v="3"/>
    <m/>
    <s v="G"/>
    <s v="RG"/>
    <s v="left"/>
  </r>
  <r>
    <m/>
    <x v="1"/>
    <m/>
    <m/>
    <n v="210"/>
    <n v="2"/>
    <x v="3"/>
    <x v="2"/>
    <m/>
    <s v="cautery"/>
    <m/>
    <s v="right"/>
  </r>
  <r>
    <m/>
    <x v="1"/>
    <s v="Control 12"/>
    <s v="LapChol Case 0020 03"/>
    <n v="230"/>
    <n v="1"/>
    <x v="1"/>
    <x v="3"/>
    <m/>
    <s v="G"/>
    <s v="RG"/>
    <s v="left"/>
  </r>
  <r>
    <m/>
    <x v="1"/>
    <m/>
    <m/>
    <n v="230"/>
    <n v="2"/>
    <x v="2"/>
    <x v="3"/>
    <m/>
    <s v="cautery"/>
    <s v="other"/>
    <s v="right"/>
  </r>
  <r>
    <m/>
    <x v="1"/>
    <s v="Control 12"/>
    <s v="LapChol Case 0020 03"/>
    <n v="240"/>
    <n v="1"/>
    <x v="1"/>
    <x v="3"/>
    <m/>
    <s v="G"/>
    <s v="RG"/>
    <s v="left"/>
  </r>
  <r>
    <m/>
    <x v="1"/>
    <m/>
    <m/>
    <n v="240"/>
    <n v="2"/>
    <x v="3"/>
    <x v="2"/>
    <m/>
    <s v="cautery"/>
    <m/>
    <s v="right"/>
  </r>
  <r>
    <m/>
    <x v="1"/>
    <s v="Control 12"/>
    <s v="LapChol Case 0020 03"/>
    <n v="250"/>
    <n v="1"/>
    <x v="1"/>
    <x v="3"/>
    <m/>
    <s v="G"/>
    <s v="RG"/>
    <s v="left"/>
  </r>
  <r>
    <m/>
    <x v="1"/>
    <m/>
    <m/>
    <n v="250"/>
    <n v="2"/>
    <x v="1"/>
    <x v="3"/>
    <m/>
    <s v="cautery"/>
    <s v="other"/>
    <s v="right"/>
  </r>
  <r>
    <m/>
    <x v="1"/>
    <s v="Control 12"/>
    <s v="LapChol Case 0020 03"/>
    <n v="260"/>
    <n v="1"/>
    <x v="1"/>
    <x v="3"/>
    <m/>
    <s v="G"/>
    <s v="RG"/>
    <s v="left"/>
  </r>
  <r>
    <m/>
    <x v="1"/>
    <m/>
    <m/>
    <n v="260"/>
    <n v="2"/>
    <x v="1"/>
    <x v="3"/>
    <m/>
    <s v="cautery"/>
    <s v="other"/>
    <s v="right"/>
  </r>
  <r>
    <m/>
    <x v="1"/>
    <s v="Control 12"/>
    <s v="LapChol Case 0020 03"/>
    <n v="290"/>
    <n v="1"/>
    <x v="1"/>
    <x v="3"/>
    <m/>
    <s v="cautery"/>
    <s v="other"/>
    <s v="right"/>
  </r>
  <r>
    <m/>
    <x v="1"/>
    <s v="Control 12"/>
    <s v="LapChol Case 0020 03"/>
    <n v="300"/>
    <n v="1"/>
    <x v="4"/>
    <x v="2"/>
    <m/>
    <s v="cautery"/>
    <m/>
    <s v="right"/>
  </r>
  <r>
    <m/>
    <x v="1"/>
    <s v="Control 12"/>
    <s v="LapChol Case 0020 03"/>
    <n v="310"/>
    <n v="1"/>
    <x v="1"/>
    <x v="3"/>
    <m/>
    <s v="G"/>
    <s v="RG"/>
    <s v="left"/>
  </r>
  <r>
    <m/>
    <x v="1"/>
    <m/>
    <m/>
    <n v="310"/>
    <n v="2"/>
    <x v="2"/>
    <x v="3"/>
    <m/>
    <s v="cautery"/>
    <s v="other"/>
    <s v="right"/>
  </r>
  <r>
    <m/>
    <x v="1"/>
    <s v="Control 12"/>
    <s v="LapChol Case 0020 03"/>
    <n v="320"/>
    <n v="1"/>
    <x v="1"/>
    <x v="3"/>
    <m/>
    <s v="G"/>
    <s v="RG"/>
    <s v="left"/>
  </r>
  <r>
    <m/>
    <x v="1"/>
    <m/>
    <m/>
    <n v="320"/>
    <n v="2"/>
    <x v="1"/>
    <x v="3"/>
    <m/>
    <s v="cautery"/>
    <s v="other"/>
    <s v="right"/>
  </r>
  <r>
    <m/>
    <x v="1"/>
    <s v="Control 12"/>
    <s v="LapChol Case 0020 03"/>
    <n v="330"/>
    <n v="1"/>
    <x v="1"/>
    <x v="3"/>
    <m/>
    <s v="G"/>
    <s v="RG"/>
    <s v="left"/>
  </r>
  <r>
    <m/>
    <x v="1"/>
    <m/>
    <m/>
    <n v="330"/>
    <n v="2"/>
    <x v="3"/>
    <x v="2"/>
    <m/>
    <s v="cautery"/>
    <m/>
    <s v="right"/>
  </r>
  <r>
    <m/>
    <x v="1"/>
    <s v="Control 13"/>
    <s v="LapChol Case 0023 03"/>
    <n v="0"/>
    <n v="1"/>
    <x v="0"/>
    <x v="0"/>
    <s v="not a target"/>
    <m/>
    <m/>
    <m/>
  </r>
  <r>
    <m/>
    <x v="1"/>
    <s v="Control 13"/>
    <s v="LapChol Case 0023 03"/>
    <n v="10"/>
    <n v="1"/>
    <x v="0"/>
    <x v="0"/>
    <s v="not a target"/>
    <m/>
    <m/>
    <m/>
  </r>
  <r>
    <m/>
    <x v="1"/>
    <s v="Control 13"/>
    <s v="LapChol Case 0023 03"/>
    <n v="40"/>
    <n v="1"/>
    <x v="0"/>
    <x v="0"/>
    <s v="not a target"/>
    <m/>
    <m/>
    <m/>
  </r>
  <r>
    <m/>
    <x v="1"/>
    <s v="Control 13"/>
    <s v="LapChol Case 0023 03"/>
    <n v="50"/>
    <n v="1"/>
    <x v="0"/>
    <x v="0"/>
    <s v="not a target"/>
    <m/>
    <m/>
    <m/>
  </r>
  <r>
    <m/>
    <x v="1"/>
    <s v="Control 13"/>
    <s v="LapChol Case 0023 03"/>
    <n v="70"/>
    <n v="1"/>
    <x v="0"/>
    <x v="0"/>
    <s v="not a target"/>
    <m/>
    <m/>
    <m/>
  </r>
  <r>
    <m/>
    <x v="1"/>
    <s v="Control 13"/>
    <s v="LapChol Case 0023 03"/>
    <n v="100"/>
    <n v="1"/>
    <x v="1"/>
    <x v="3"/>
    <m/>
    <s v="G"/>
    <s v="RG"/>
    <s v="left"/>
  </r>
  <r>
    <m/>
    <x v="1"/>
    <m/>
    <m/>
    <n v="100"/>
    <n v="2"/>
    <x v="2"/>
    <x v="3"/>
    <m/>
    <s v="cautery"/>
    <s v="other"/>
    <s v="right"/>
  </r>
  <r>
    <m/>
    <x v="1"/>
    <s v="Control 13"/>
    <s v="LapChol Case 0023 03"/>
    <n v="110"/>
    <n v="1"/>
    <x v="1"/>
    <x v="3"/>
    <m/>
    <s v="G"/>
    <s v="RG"/>
    <s v="left"/>
  </r>
  <r>
    <m/>
    <x v="1"/>
    <m/>
    <m/>
    <n v="110"/>
    <n v="2"/>
    <x v="4"/>
    <x v="2"/>
    <m/>
    <s v="cautery"/>
    <m/>
    <s v="right"/>
  </r>
  <r>
    <m/>
    <x v="1"/>
    <s v="Control 13"/>
    <s v="LapChol Case 0023 03"/>
    <n v="120"/>
    <n v="1"/>
    <x v="1"/>
    <x v="3"/>
    <m/>
    <s v="G"/>
    <s v="RG"/>
    <s v="left"/>
  </r>
  <r>
    <m/>
    <x v="1"/>
    <m/>
    <m/>
    <n v="120"/>
    <n v="2"/>
    <x v="2"/>
    <x v="3"/>
    <m/>
    <s v="cautery"/>
    <s v="other"/>
    <s v="right"/>
  </r>
  <r>
    <m/>
    <x v="1"/>
    <s v="Control 13"/>
    <s v="LapChol Case 0023 03"/>
    <n v="130"/>
    <n v="1"/>
    <x v="1"/>
    <x v="3"/>
    <m/>
    <s v="G"/>
    <s v="RG"/>
    <s v="left"/>
  </r>
  <r>
    <m/>
    <x v="1"/>
    <m/>
    <m/>
    <n v="130"/>
    <n v="2"/>
    <x v="1"/>
    <x v="3"/>
    <m/>
    <s v="cautery"/>
    <s v="energy-sharp dissection"/>
    <s v="right"/>
  </r>
  <r>
    <m/>
    <x v="1"/>
    <s v="Control 13"/>
    <s v="LapChol Case 0023 03"/>
    <n v="180"/>
    <n v="1"/>
    <x v="1"/>
    <x v="3"/>
    <m/>
    <s v="G"/>
    <s v="RG"/>
    <s v="left"/>
  </r>
  <r>
    <m/>
    <x v="1"/>
    <m/>
    <m/>
    <n v="180"/>
    <n v="2"/>
    <x v="4"/>
    <x v="2"/>
    <m/>
    <s v="cautery"/>
    <m/>
    <s v="right"/>
  </r>
  <r>
    <m/>
    <x v="1"/>
    <s v="Control 13"/>
    <s v="LapChol Case 0023 03"/>
    <n v="190"/>
    <n v="1"/>
    <x v="1"/>
    <x v="3"/>
    <m/>
    <s v="G"/>
    <s v="RG"/>
    <s v="left"/>
  </r>
  <r>
    <m/>
    <x v="1"/>
    <m/>
    <m/>
    <n v="190"/>
    <n v="2"/>
    <x v="1"/>
    <x v="3"/>
    <m/>
    <s v="cautery"/>
    <s v="energy-sharp dissection"/>
    <s v="right"/>
  </r>
  <r>
    <m/>
    <x v="1"/>
    <s v="Control 13"/>
    <s v="LapChol Case 0023 03"/>
    <n v="200"/>
    <n v="1"/>
    <x v="1"/>
    <x v="3"/>
    <m/>
    <s v="cautery"/>
    <s v="other"/>
    <s v="right"/>
  </r>
  <r>
    <m/>
    <x v="1"/>
    <s v="Control 13"/>
    <s v="LapChol Case 0023 03"/>
    <n v="210"/>
    <n v="1"/>
    <x v="1"/>
    <x v="3"/>
    <m/>
    <s v="G"/>
    <s v="RG"/>
    <s v="left"/>
  </r>
  <r>
    <m/>
    <x v="1"/>
    <m/>
    <m/>
    <n v="210"/>
    <n v="2"/>
    <x v="3"/>
    <x v="2"/>
    <m/>
    <s v="cautery"/>
    <m/>
    <s v="right"/>
  </r>
  <r>
    <m/>
    <x v="1"/>
    <s v="Control 13"/>
    <s v="LapChol Case 0023 03"/>
    <n v="220"/>
    <n v="1"/>
    <x v="1"/>
    <x v="3"/>
    <m/>
    <s v="G"/>
    <s v="RG"/>
    <s v="left"/>
  </r>
  <r>
    <m/>
    <x v="1"/>
    <m/>
    <m/>
    <n v="220"/>
    <n v="2"/>
    <x v="3"/>
    <x v="2"/>
    <m/>
    <s v="cautery"/>
    <m/>
    <s v="right"/>
  </r>
  <r>
    <m/>
    <x v="1"/>
    <s v="Control 13"/>
    <s v="LapChol Case 0023 03"/>
    <n v="230"/>
    <n v="1"/>
    <x v="1"/>
    <x v="3"/>
    <m/>
    <s v="G"/>
    <s v="RG"/>
    <s v="left"/>
  </r>
  <r>
    <m/>
    <x v="1"/>
    <m/>
    <m/>
    <n v="230"/>
    <n v="2"/>
    <x v="2"/>
    <x v="3"/>
    <m/>
    <s v="cautery"/>
    <s v="other"/>
    <s v="right"/>
  </r>
  <r>
    <m/>
    <x v="1"/>
    <s v="Control 13"/>
    <s v="LapChol Case 0023 03"/>
    <n v="240"/>
    <n v="1"/>
    <x v="1"/>
    <x v="3"/>
    <m/>
    <s v="G"/>
    <s v="RG"/>
    <s v="left"/>
  </r>
  <r>
    <m/>
    <x v="1"/>
    <m/>
    <m/>
    <n v="240"/>
    <n v="2"/>
    <x v="2"/>
    <x v="3"/>
    <m/>
    <s v="cautery"/>
    <s v="energy-sharp dissection"/>
    <s v="right"/>
  </r>
  <r>
    <m/>
    <x v="1"/>
    <s v="Control 13"/>
    <s v="LapChol Case 0023 03"/>
    <n v="260"/>
    <n v="1"/>
    <x v="1"/>
    <x v="3"/>
    <m/>
    <s v="G"/>
    <s v="RG"/>
    <s v="left"/>
  </r>
  <r>
    <m/>
    <x v="1"/>
    <m/>
    <m/>
    <n v="260"/>
    <n v="2"/>
    <x v="1"/>
    <x v="3"/>
    <m/>
    <s v="G2"/>
    <s v="RG"/>
    <s v="left"/>
  </r>
  <r>
    <m/>
    <x v="1"/>
    <m/>
    <m/>
    <n v="260"/>
    <n v="3"/>
    <x v="1"/>
    <x v="3"/>
    <m/>
    <s v="cautery"/>
    <s v="energy-sharp dissection"/>
    <s v="right"/>
  </r>
  <r>
    <m/>
    <x v="1"/>
    <s v="Control 13"/>
    <s v="LapChol Case 0023 03"/>
    <n v="270"/>
    <n v="1"/>
    <x v="1"/>
    <x v="3"/>
    <m/>
    <s v="G"/>
    <s v="RG"/>
    <s v="left"/>
  </r>
  <r>
    <m/>
    <x v="1"/>
    <m/>
    <m/>
    <n v="270"/>
    <n v="2"/>
    <x v="1"/>
    <x v="3"/>
    <m/>
    <s v="cautery"/>
    <s v="other"/>
    <s v="right"/>
  </r>
  <r>
    <m/>
    <x v="1"/>
    <s v="Control 13"/>
    <s v="LapChol Case 0023 03"/>
    <n v="280"/>
    <n v="1"/>
    <x v="1"/>
    <x v="3"/>
    <m/>
    <s v="G"/>
    <s v="RG"/>
    <s v="left"/>
  </r>
  <r>
    <m/>
    <x v="1"/>
    <m/>
    <m/>
    <n v="280"/>
    <n v="2"/>
    <x v="2"/>
    <x v="3"/>
    <m/>
    <s v="cautery"/>
    <s v="other"/>
    <s v="right"/>
  </r>
  <r>
    <m/>
    <x v="1"/>
    <s v="Control 13"/>
    <s v="LapChol Case 0023 03"/>
    <n v="290"/>
    <n v="1"/>
    <x v="1"/>
    <x v="3"/>
    <m/>
    <s v="G"/>
    <s v="RG"/>
    <s v="left"/>
  </r>
  <r>
    <m/>
    <x v="1"/>
    <m/>
    <m/>
    <n v="290"/>
    <n v="2"/>
    <x v="3"/>
    <x v="2"/>
    <m/>
    <s v="cautery"/>
    <m/>
    <s v="right"/>
  </r>
  <r>
    <m/>
    <x v="1"/>
    <s v="Control 13"/>
    <s v="LapChol Case 0023 03"/>
    <n v="300"/>
    <n v="1"/>
    <x v="2"/>
    <x v="3"/>
    <m/>
    <s v="G"/>
    <s v="RG"/>
    <s v="left"/>
  </r>
  <r>
    <m/>
    <x v="1"/>
    <m/>
    <m/>
    <n v="300"/>
    <n v="2"/>
    <x v="1"/>
    <x v="3"/>
    <m/>
    <s v="cautery"/>
    <s v="other"/>
    <s v="right"/>
  </r>
  <r>
    <m/>
    <x v="1"/>
    <s v="Control 13"/>
    <s v="LapChol Case 0023 04"/>
    <n v="10"/>
    <n v="1"/>
    <x v="4"/>
    <x v="2"/>
    <m/>
    <s v="none"/>
    <m/>
    <m/>
  </r>
  <r>
    <m/>
    <x v="1"/>
    <m/>
    <m/>
    <n v="10"/>
    <n v="2"/>
    <x v="2"/>
    <x v="3"/>
    <m/>
    <s v="cautery"/>
    <s v="other"/>
    <s v="right"/>
  </r>
  <r>
    <m/>
    <x v="1"/>
    <s v="Control 13"/>
    <s v="LapChol Case 0023 04"/>
    <n v="30"/>
    <n v="1"/>
    <x v="1"/>
    <x v="3"/>
    <m/>
    <s v="G"/>
    <s v="RG"/>
    <s v="left"/>
  </r>
  <r>
    <m/>
    <x v="1"/>
    <m/>
    <m/>
    <n v="30"/>
    <n v="2"/>
    <x v="2"/>
    <x v="3"/>
    <m/>
    <s v="cautery"/>
    <s v="other"/>
    <s v="right"/>
  </r>
  <r>
    <m/>
    <x v="1"/>
    <s v="Control 13"/>
    <s v="LapChol Case 0023 04"/>
    <n v="60"/>
    <n v="1"/>
    <x v="1"/>
    <x v="3"/>
    <m/>
    <s v="cautery"/>
    <s v="other"/>
    <s v="right"/>
  </r>
  <r>
    <m/>
    <x v="1"/>
    <m/>
    <m/>
    <n v="60"/>
    <n v="2"/>
    <x v="2"/>
    <x v="3"/>
    <m/>
    <s v="G"/>
    <s v="RG"/>
    <s v="left"/>
  </r>
  <r>
    <m/>
    <x v="1"/>
    <s v="Control 13"/>
    <s v="LapChol Case 0023 04"/>
    <n v="80"/>
    <n v="1"/>
    <x v="1"/>
    <x v="3"/>
    <m/>
    <s v="G"/>
    <s v="RG"/>
    <s v="left"/>
  </r>
  <r>
    <m/>
    <x v="1"/>
    <m/>
    <m/>
    <n v="80"/>
    <n v="2"/>
    <x v="3"/>
    <x v="2"/>
    <m/>
    <s v="cautery"/>
    <m/>
    <s v="right"/>
  </r>
  <r>
    <m/>
    <x v="1"/>
    <s v="Control 13"/>
    <s v="LapChol Case 0023 04"/>
    <n v="90"/>
    <n v="1"/>
    <x v="1"/>
    <x v="3"/>
    <m/>
    <s v="G"/>
    <s v="RG"/>
    <s v="left"/>
  </r>
  <r>
    <m/>
    <x v="1"/>
    <m/>
    <m/>
    <n v="90"/>
    <n v="2"/>
    <x v="2"/>
    <x v="3"/>
    <m/>
    <s v="cautery"/>
    <s v="other"/>
    <s v="right"/>
  </r>
  <r>
    <m/>
    <x v="1"/>
    <s v="Control 13"/>
    <s v="LapChol Case 0023 04"/>
    <n v="100"/>
    <n v="1"/>
    <x v="2"/>
    <x v="3"/>
    <m/>
    <s v="G"/>
    <s v="RG"/>
    <s v="left"/>
  </r>
  <r>
    <m/>
    <x v="1"/>
    <m/>
    <m/>
    <n v="100"/>
    <n v="2"/>
    <x v="2"/>
    <x v="3"/>
    <m/>
    <s v="cautery"/>
    <s v="energy-sharp dissection"/>
    <s v="right"/>
  </r>
  <r>
    <m/>
    <x v="1"/>
    <m/>
    <m/>
    <n v="100"/>
    <n v="3"/>
    <x v="4"/>
    <x v="2"/>
    <m/>
    <s v="none"/>
    <m/>
    <m/>
  </r>
  <r>
    <m/>
    <x v="1"/>
    <s v="Control 13"/>
    <s v="LapChol Case 0023 04"/>
    <n v="110"/>
    <n v="1"/>
    <x v="1"/>
    <x v="3"/>
    <m/>
    <s v="G"/>
    <s v="RG"/>
    <s v="left"/>
  </r>
  <r>
    <m/>
    <x v="1"/>
    <m/>
    <m/>
    <n v="110"/>
    <n v="2"/>
    <x v="3"/>
    <x v="2"/>
    <m/>
    <s v="cautery"/>
    <m/>
    <s v="right"/>
  </r>
  <r>
    <m/>
    <x v="1"/>
    <s v="Control 13"/>
    <s v="LapChol Case 0023 04"/>
    <n v="120"/>
    <n v="1"/>
    <x v="1"/>
    <x v="3"/>
    <m/>
    <s v="G"/>
    <s v="RG"/>
    <s v="left"/>
  </r>
  <r>
    <m/>
    <x v="1"/>
    <m/>
    <m/>
    <n v="120"/>
    <n v="2"/>
    <x v="1"/>
    <x v="3"/>
    <m/>
    <s v="cautery"/>
    <s v="other"/>
    <s v="right"/>
  </r>
  <r>
    <m/>
    <x v="1"/>
    <s v="Control 13"/>
    <s v="LapChol Case 0023 04"/>
    <n v="130"/>
    <n v="1"/>
    <x v="1"/>
    <x v="3"/>
    <m/>
    <s v="G"/>
    <s v="RG"/>
    <s v="left"/>
  </r>
  <r>
    <m/>
    <x v="1"/>
    <m/>
    <m/>
    <n v="130"/>
    <n v="2"/>
    <x v="2"/>
    <x v="3"/>
    <m/>
    <s v="cautery"/>
    <s v="other"/>
    <s v="right"/>
  </r>
  <r>
    <m/>
    <x v="1"/>
    <s v="Control 13"/>
    <s v="LapChol Case 0023 04"/>
    <n v="150"/>
    <n v="1"/>
    <x v="1"/>
    <x v="3"/>
    <m/>
    <s v="G"/>
    <s v="RG"/>
    <s v="left"/>
  </r>
  <r>
    <m/>
    <x v="1"/>
    <m/>
    <m/>
    <n v="150"/>
    <n v="2"/>
    <x v="1"/>
    <x v="3"/>
    <m/>
    <s v="cautery"/>
    <s v="energy-sharp dissection"/>
    <s v="right"/>
  </r>
  <r>
    <m/>
    <x v="1"/>
    <s v="Control 13"/>
    <s v="LapChol Case 0023 04"/>
    <n v="160"/>
    <n v="1"/>
    <x v="1"/>
    <x v="3"/>
    <m/>
    <s v="G"/>
    <s v="RG"/>
    <s v="left"/>
  </r>
  <r>
    <m/>
    <x v="1"/>
    <m/>
    <m/>
    <n v="160"/>
    <n v="2"/>
    <x v="2"/>
    <x v="3"/>
    <m/>
    <s v="cautery"/>
    <s v="other"/>
    <s v="right"/>
  </r>
  <r>
    <m/>
    <x v="1"/>
    <s v="Control 13"/>
    <s v="LapChol Case 0023 04"/>
    <n v="170"/>
    <n v="1"/>
    <x v="1"/>
    <x v="3"/>
    <m/>
    <s v="G"/>
    <s v="RG"/>
    <s v="left"/>
  </r>
  <r>
    <m/>
    <x v="1"/>
    <m/>
    <m/>
    <n v="170"/>
    <n v="2"/>
    <x v="3"/>
    <x v="2"/>
    <m/>
    <s v="cautery"/>
    <m/>
    <s v="right"/>
  </r>
  <r>
    <m/>
    <x v="1"/>
    <s v="Control 13"/>
    <s v="LapChol Case 0023 04"/>
    <n v="180"/>
    <n v="1"/>
    <x v="1"/>
    <x v="3"/>
    <m/>
    <s v="G"/>
    <s v="RG"/>
    <s v="left"/>
  </r>
  <r>
    <m/>
    <x v="1"/>
    <m/>
    <m/>
    <n v="180"/>
    <n v="2"/>
    <x v="2"/>
    <x v="3"/>
    <m/>
    <s v="cautery"/>
    <s v="other"/>
    <s v="right"/>
  </r>
  <r>
    <m/>
    <x v="1"/>
    <s v="Control 13"/>
    <s v="LapChol Case 0023 04"/>
    <n v="190"/>
    <n v="1"/>
    <x v="1"/>
    <x v="3"/>
    <m/>
    <s v="G"/>
    <s v="RG"/>
    <s v="left"/>
  </r>
  <r>
    <m/>
    <x v="1"/>
    <m/>
    <m/>
    <n v="190"/>
    <n v="2"/>
    <x v="1"/>
    <x v="3"/>
    <m/>
    <s v="cautery"/>
    <s v="energy-sharp dissection"/>
    <s v="right"/>
  </r>
  <r>
    <m/>
    <x v="1"/>
    <m/>
    <m/>
    <n v="190"/>
    <n v="3"/>
    <x v="4"/>
    <x v="2"/>
    <m/>
    <s v="none"/>
    <m/>
    <m/>
  </r>
  <r>
    <m/>
    <x v="1"/>
    <m/>
    <m/>
    <n v="190"/>
    <n v="4"/>
    <x v="4"/>
    <x v="2"/>
    <m/>
    <s v="none"/>
    <m/>
    <m/>
  </r>
  <r>
    <m/>
    <x v="1"/>
    <s v="Control 13"/>
    <s v="LapChol Case 0023 04"/>
    <n v="200"/>
    <n v="1"/>
    <x v="1"/>
    <x v="3"/>
    <m/>
    <s v="G"/>
    <s v="RG"/>
    <s v="left"/>
  </r>
  <r>
    <m/>
    <x v="1"/>
    <m/>
    <m/>
    <n v="200"/>
    <n v="2"/>
    <x v="2"/>
    <x v="3"/>
    <m/>
    <s v="cautery"/>
    <s v="other"/>
    <s v="right"/>
  </r>
  <r>
    <m/>
    <x v="1"/>
    <s v="Control 13"/>
    <s v="LapChol Case 0023 04"/>
    <n v="210"/>
    <n v="1"/>
    <x v="1"/>
    <x v="3"/>
    <m/>
    <s v="G"/>
    <s v="RG"/>
    <s v="left"/>
  </r>
  <r>
    <m/>
    <x v="1"/>
    <m/>
    <m/>
    <n v="210"/>
    <n v="2"/>
    <x v="3"/>
    <x v="2"/>
    <m/>
    <s v="cautery"/>
    <m/>
    <s v="right"/>
  </r>
  <r>
    <m/>
    <x v="1"/>
    <s v="Control 13"/>
    <s v="LapChol Case 0023 04"/>
    <n v="220"/>
    <n v="1"/>
    <x v="1"/>
    <x v="3"/>
    <m/>
    <s v="G"/>
    <s v="RG"/>
    <s v="left"/>
  </r>
  <r>
    <m/>
    <x v="1"/>
    <m/>
    <m/>
    <n v="220"/>
    <n v="2"/>
    <x v="4"/>
    <x v="2"/>
    <m/>
    <s v="none"/>
    <m/>
    <m/>
  </r>
  <r>
    <m/>
    <x v="1"/>
    <s v="Control 13"/>
    <s v="LapChol Case 0023 04"/>
    <n v="250"/>
    <n v="1"/>
    <x v="1"/>
    <x v="3"/>
    <m/>
    <s v="G"/>
    <s v="RG"/>
    <s v="left"/>
  </r>
  <r>
    <m/>
    <x v="1"/>
    <m/>
    <m/>
    <n v="250"/>
    <n v="2"/>
    <x v="2"/>
    <x v="3"/>
    <m/>
    <s v="cautery"/>
    <s v="energy-sharp dissection"/>
    <s v="right"/>
  </r>
  <r>
    <m/>
    <x v="1"/>
    <s v="Control 13"/>
    <s v="LapChol Case 0023 04"/>
    <n v="260"/>
    <n v="1"/>
    <x v="1"/>
    <x v="3"/>
    <m/>
    <s v="G"/>
    <s v="RG"/>
    <s v="left"/>
  </r>
  <r>
    <m/>
    <x v="1"/>
    <s v="Control 13"/>
    <s v="LapChol Case 0023 04"/>
    <n v="270"/>
    <n v="1"/>
    <x v="1"/>
    <x v="3"/>
    <m/>
    <s v="G"/>
    <s v="RG"/>
    <s v="left"/>
  </r>
  <r>
    <m/>
    <x v="1"/>
    <s v="Control 13"/>
    <s v="LapChol Case 0023 04"/>
    <n v="280"/>
    <n v="1"/>
    <x v="1"/>
    <x v="3"/>
    <m/>
    <s v="G"/>
    <s v="RG"/>
    <s v="left"/>
  </r>
  <r>
    <m/>
    <x v="1"/>
    <m/>
    <m/>
    <n v="280"/>
    <n v="2"/>
    <x v="3"/>
    <x v="2"/>
    <m/>
    <s v="clip"/>
    <m/>
    <s v="right"/>
  </r>
  <r>
    <m/>
    <x v="1"/>
    <s v="Control 13"/>
    <s v="LapChol Case 0023 04"/>
    <n v="290"/>
    <n v="1"/>
    <x v="1"/>
    <x v="3"/>
    <m/>
    <s v="G"/>
    <s v="RG"/>
    <s v="left"/>
  </r>
  <r>
    <m/>
    <x v="1"/>
    <s v="Control 13"/>
    <s v="LapChol Case 0023 04"/>
    <n v="300"/>
    <n v="1"/>
    <x v="1"/>
    <x v="3"/>
    <m/>
    <s v="G"/>
    <s v="RG"/>
    <s v="left"/>
  </r>
  <r>
    <m/>
    <x v="1"/>
    <m/>
    <m/>
    <n v="300"/>
    <n v="2"/>
    <x v="2"/>
    <x v="3"/>
    <m/>
    <s v="clip"/>
    <s v="clip"/>
    <s v="right"/>
  </r>
  <r>
    <m/>
    <x v="1"/>
    <s v="Control 13"/>
    <s v="LapChol Case 0023 04"/>
    <n v="310"/>
    <n v="1"/>
    <x v="1"/>
    <x v="3"/>
    <m/>
    <s v="G"/>
    <s v="RG"/>
    <s v="left"/>
  </r>
  <r>
    <m/>
    <x v="1"/>
    <s v="Control 13"/>
    <s v="LapChol Case 0023 04"/>
    <n v="320"/>
    <n v="1"/>
    <x v="1"/>
    <x v="3"/>
    <m/>
    <s v="G"/>
    <s v="RG"/>
    <s v="left"/>
  </r>
  <r>
    <m/>
    <x v="1"/>
    <m/>
    <m/>
    <n v="320"/>
    <n v="2"/>
    <x v="2"/>
    <x v="3"/>
    <m/>
    <s v="clip"/>
    <s v="clip"/>
    <s v="right"/>
  </r>
  <r>
    <m/>
    <x v="1"/>
    <s v="Control 13"/>
    <s v="LapChol Case 0023 04"/>
    <n v="330"/>
    <n v="1"/>
    <x v="1"/>
    <x v="3"/>
    <m/>
    <s v="G"/>
    <s v="RG"/>
    <s v="le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CBDC5-7CC5-40A5-9974-2C6210F5F1C5}" name="피벗 테이블1" cacheId="13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5:F10" firstHeaderRow="1" firstDataRow="2" firstDataCol="1" rowPageCount="1" colPageCount="1"/>
  <pivotFields count="12">
    <pivotField compact="0" outline="0" showAll="0"/>
    <pivotField axis="axisPage" compact="0" outline="0" showAll="0">
      <items count="3">
        <item h="1"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multipleItemSelectionAllowed="1" showAll="0">
      <items count="6">
        <item x="3"/>
        <item x="1"/>
        <item x="2"/>
        <item x="4"/>
        <item h="1" x="0"/>
        <item t="default"/>
      </items>
    </pivotField>
    <pivotField axis="axisRow" compact="0" outline="0" multipleItemSelectionAllowed="1" showAll="0">
      <items count="6">
        <item x="2"/>
        <item x="3"/>
        <item x="1"/>
        <item h="1" x="4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1" item="1" hier="-1"/>
  </pageFields>
  <dataFields count="1">
    <dataField name="개수 : Yolo TTI_x000a_0 = TN_x000a_1 = TP_x000a_2 = FN_x000a_3 = FP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8084-E72F-426F-A8A6-F25280E0AEEC}">
  <dimension ref="A3:F10"/>
  <sheetViews>
    <sheetView workbookViewId="0">
      <selection activeCell="B16" sqref="B16"/>
    </sheetView>
  </sheetViews>
  <sheetFormatPr defaultRowHeight="15.75"/>
  <cols>
    <col min="1" max="1" width="46.375" bestFit="1" customWidth="1"/>
    <col min="2" max="2" width="31.125" bestFit="1" customWidth="1"/>
    <col min="3" max="4" width="4" bestFit="1" customWidth="1"/>
    <col min="5" max="5" width="3" bestFit="1" customWidth="1"/>
    <col min="6" max="6" width="7" bestFit="1" customWidth="1"/>
  </cols>
  <sheetData>
    <row r="3" spans="1:6">
      <c r="A3" s="16" t="s">
        <v>0</v>
      </c>
      <c r="B3" t="s">
        <v>1</v>
      </c>
    </row>
    <row r="5" spans="1:6">
      <c r="A5" s="16" t="s">
        <v>2</v>
      </c>
      <c r="B5" s="16" t="s">
        <v>3</v>
      </c>
    </row>
    <row r="6" spans="1:6">
      <c r="A6" s="16" t="s">
        <v>4</v>
      </c>
      <c r="B6">
        <v>0</v>
      </c>
      <c r="C6">
        <v>1</v>
      </c>
      <c r="D6">
        <v>2</v>
      </c>
      <c r="E6">
        <v>3</v>
      </c>
      <c r="F6" t="s">
        <v>5</v>
      </c>
    </row>
    <row r="7" spans="1:6">
      <c r="A7">
        <v>0</v>
      </c>
      <c r="B7">
        <v>67</v>
      </c>
      <c r="E7">
        <v>43</v>
      </c>
      <c r="F7">
        <v>110</v>
      </c>
    </row>
    <row r="8" spans="1:6">
      <c r="A8">
        <v>1</v>
      </c>
      <c r="C8">
        <v>456</v>
      </c>
      <c r="D8">
        <v>170</v>
      </c>
      <c r="F8">
        <v>626</v>
      </c>
    </row>
    <row r="9" spans="1:6">
      <c r="A9">
        <v>2</v>
      </c>
      <c r="C9">
        <v>1</v>
      </c>
      <c r="D9">
        <v>2</v>
      </c>
      <c r="F9">
        <v>3</v>
      </c>
    </row>
    <row r="10" spans="1:6">
      <c r="A10" t="s">
        <v>5</v>
      </c>
      <c r="B10">
        <v>67</v>
      </c>
      <c r="C10">
        <v>457</v>
      </c>
      <c r="D10">
        <v>172</v>
      </c>
      <c r="E10">
        <v>43</v>
      </c>
      <c r="F10">
        <v>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090D-F05B-4C17-B654-02BD8A21C542}">
  <dimension ref="A1:M3071"/>
  <sheetViews>
    <sheetView tabSelected="1" zoomScale="133" workbookViewId="0">
      <pane ySplit="1" topLeftCell="A2" activePane="bottomLeft" state="frozen"/>
      <selection pane="bottomLeft" activeCell="F5" sqref="F5"/>
      <selection activeCell="A2" sqref="A2"/>
    </sheetView>
  </sheetViews>
  <sheetFormatPr defaultColWidth="11" defaultRowHeight="15.75" customHeight="1"/>
  <cols>
    <col min="3" max="3" width="24.625" customWidth="1"/>
    <col min="4" max="4" width="22.25" customWidth="1"/>
    <col min="5" max="5" width="17.875" customWidth="1"/>
    <col min="6" max="6" width="19" customWidth="1"/>
    <col min="7" max="7" width="13.25" style="32" customWidth="1"/>
    <col min="8" max="8" width="19.875" customWidth="1"/>
    <col min="9" max="9" width="19.75" customWidth="1"/>
    <col min="10" max="10" width="15.875" customWidth="1"/>
    <col min="11" max="11" width="20.875" customWidth="1"/>
  </cols>
  <sheetData>
    <row r="1" spans="1:12" ht="101.1" customHeight="1">
      <c r="A1" t="s">
        <v>6</v>
      </c>
      <c r="B1" t="s">
        <v>0</v>
      </c>
      <c r="C1" s="1" t="s">
        <v>7</v>
      </c>
      <c r="D1" s="1" t="s">
        <v>8</v>
      </c>
      <c r="E1" s="11" t="s">
        <v>9</v>
      </c>
      <c r="F1" s="11" t="s">
        <v>10</v>
      </c>
      <c r="G1" s="31" t="s">
        <v>11</v>
      </c>
      <c r="H1" s="11" t="s">
        <v>12</v>
      </c>
      <c r="I1" s="1" t="s">
        <v>13</v>
      </c>
      <c r="J1" t="s">
        <v>14</v>
      </c>
      <c r="K1" t="s">
        <v>15</v>
      </c>
      <c r="L1" t="s">
        <v>16</v>
      </c>
    </row>
    <row r="2" spans="1:12">
      <c r="B2" t="s">
        <v>1</v>
      </c>
      <c r="C2" s="4" t="s">
        <v>17</v>
      </c>
      <c r="D2" t="s">
        <v>18</v>
      </c>
      <c r="E2">
        <v>0</v>
      </c>
      <c r="F2">
        <v>1</v>
      </c>
      <c r="G2" s="32">
        <v>1</v>
      </c>
      <c r="H2">
        <v>1</v>
      </c>
      <c r="J2" t="s">
        <v>19</v>
      </c>
      <c r="K2" t="s">
        <v>20</v>
      </c>
      <c r="L2" t="s">
        <v>21</v>
      </c>
    </row>
    <row r="3" spans="1:12">
      <c r="B3" t="s">
        <v>1</v>
      </c>
      <c r="C3" s="4" t="s">
        <v>17</v>
      </c>
      <c r="D3" t="s">
        <v>18</v>
      </c>
      <c r="E3">
        <v>0</v>
      </c>
      <c r="F3">
        <v>2</v>
      </c>
      <c r="G3" s="32">
        <v>2</v>
      </c>
      <c r="H3">
        <v>2</v>
      </c>
      <c r="J3" t="s">
        <v>22</v>
      </c>
      <c r="K3" t="s">
        <v>23</v>
      </c>
      <c r="L3" t="s">
        <v>24</v>
      </c>
    </row>
    <row r="4" spans="1:12">
      <c r="B4" t="s">
        <v>1</v>
      </c>
      <c r="C4" s="4" t="s">
        <v>25</v>
      </c>
      <c r="D4" t="s">
        <v>18</v>
      </c>
      <c r="E4">
        <v>10</v>
      </c>
      <c r="F4">
        <v>1</v>
      </c>
      <c r="G4" s="32">
        <v>1</v>
      </c>
      <c r="H4">
        <v>1</v>
      </c>
      <c r="J4" t="s">
        <v>19</v>
      </c>
      <c r="K4" t="s">
        <v>20</v>
      </c>
      <c r="L4" t="s">
        <v>21</v>
      </c>
    </row>
    <row r="5" spans="1:12">
      <c r="B5" t="s">
        <v>1</v>
      </c>
      <c r="C5" s="4" t="s">
        <v>25</v>
      </c>
      <c r="D5" t="s">
        <v>18</v>
      </c>
      <c r="E5">
        <v>10</v>
      </c>
      <c r="F5">
        <v>2</v>
      </c>
      <c r="G5" s="32">
        <v>0</v>
      </c>
      <c r="H5">
        <v>0</v>
      </c>
      <c r="J5" t="s">
        <v>22</v>
      </c>
      <c r="L5" t="s">
        <v>24</v>
      </c>
    </row>
    <row r="6" spans="1:12">
      <c r="D6" s="34" t="s">
        <v>18</v>
      </c>
      <c r="E6">
        <v>20</v>
      </c>
      <c r="F6">
        <v>1</v>
      </c>
      <c r="G6" s="33"/>
      <c r="H6">
        <v>1</v>
      </c>
      <c r="J6" t="s">
        <v>19</v>
      </c>
      <c r="K6" t="s">
        <v>20</v>
      </c>
      <c r="L6" t="s">
        <v>26</v>
      </c>
    </row>
    <row r="7" spans="1:12">
      <c r="D7" s="34" t="s">
        <v>18</v>
      </c>
      <c r="E7">
        <v>20</v>
      </c>
      <c r="F7">
        <v>2</v>
      </c>
      <c r="H7">
        <v>1</v>
      </c>
      <c r="J7" t="s">
        <v>22</v>
      </c>
      <c r="K7" t="s">
        <v>27</v>
      </c>
      <c r="L7" t="s">
        <v>28</v>
      </c>
    </row>
    <row r="8" spans="1:12">
      <c r="B8" t="s">
        <v>1</v>
      </c>
      <c r="C8" s="4" t="s">
        <v>25</v>
      </c>
      <c r="D8" t="s">
        <v>18</v>
      </c>
      <c r="E8">
        <v>30</v>
      </c>
      <c r="F8">
        <v>1</v>
      </c>
      <c r="G8" s="32">
        <v>2</v>
      </c>
      <c r="H8">
        <v>1</v>
      </c>
      <c r="J8" t="s">
        <v>19</v>
      </c>
      <c r="K8" t="s">
        <v>20</v>
      </c>
      <c r="L8" t="s">
        <v>21</v>
      </c>
    </row>
    <row r="9" spans="1:12">
      <c r="B9" t="s">
        <v>1</v>
      </c>
      <c r="C9" s="4" t="s">
        <v>25</v>
      </c>
      <c r="D9" t="s">
        <v>18</v>
      </c>
      <c r="E9">
        <v>30</v>
      </c>
      <c r="F9">
        <v>2</v>
      </c>
      <c r="G9" s="32">
        <v>1</v>
      </c>
      <c r="H9">
        <v>1</v>
      </c>
      <c r="J9" t="s">
        <v>22</v>
      </c>
      <c r="K9" t="s">
        <v>29</v>
      </c>
      <c r="L9" t="s">
        <v>28</v>
      </c>
    </row>
    <row r="10" spans="1:12">
      <c r="B10" t="s">
        <v>1</v>
      </c>
      <c r="C10" s="4" t="s">
        <v>25</v>
      </c>
      <c r="D10" t="s">
        <v>18</v>
      </c>
      <c r="E10">
        <v>40</v>
      </c>
      <c r="F10">
        <v>1</v>
      </c>
      <c r="G10" s="32">
        <v>1</v>
      </c>
      <c r="H10">
        <v>1</v>
      </c>
      <c r="J10" t="s">
        <v>19</v>
      </c>
      <c r="K10" t="s">
        <v>20</v>
      </c>
      <c r="L10" t="s">
        <v>26</v>
      </c>
    </row>
    <row r="11" spans="1:12">
      <c r="D11" s="34" t="s">
        <v>18</v>
      </c>
      <c r="E11">
        <v>50</v>
      </c>
      <c r="F11">
        <v>1</v>
      </c>
      <c r="H11">
        <v>1</v>
      </c>
      <c r="J11" t="s">
        <v>30</v>
      </c>
      <c r="K11" t="s">
        <v>31</v>
      </c>
      <c r="L11" t="s">
        <v>28</v>
      </c>
    </row>
    <row r="12" spans="1:12">
      <c r="D12" s="34" t="s">
        <v>18</v>
      </c>
      <c r="E12">
        <v>50</v>
      </c>
      <c r="F12">
        <v>2</v>
      </c>
      <c r="H12">
        <v>1</v>
      </c>
      <c r="J12" t="s">
        <v>19</v>
      </c>
      <c r="K12" t="s">
        <v>20</v>
      </c>
      <c r="L12" t="s">
        <v>26</v>
      </c>
    </row>
    <row r="13" spans="1:12">
      <c r="D13" s="34" t="s">
        <v>18</v>
      </c>
      <c r="E13">
        <v>60</v>
      </c>
      <c r="F13">
        <v>1</v>
      </c>
      <c r="H13">
        <v>1</v>
      </c>
      <c r="J13" t="s">
        <v>30</v>
      </c>
      <c r="K13" t="s">
        <v>31</v>
      </c>
      <c r="L13" t="s">
        <v>28</v>
      </c>
    </row>
    <row r="14" spans="1:12">
      <c r="B14" t="s">
        <v>1</v>
      </c>
      <c r="C14" s="4" t="s">
        <v>25</v>
      </c>
      <c r="D14" t="s">
        <v>18</v>
      </c>
      <c r="E14">
        <v>70</v>
      </c>
      <c r="F14">
        <v>1</v>
      </c>
      <c r="G14" s="32">
        <v>1</v>
      </c>
      <c r="H14">
        <v>1</v>
      </c>
      <c r="J14" t="s">
        <v>32</v>
      </c>
      <c r="K14" t="s">
        <v>33</v>
      </c>
      <c r="L14" t="s">
        <v>26</v>
      </c>
    </row>
    <row r="15" spans="1:12">
      <c r="B15" t="s">
        <v>1</v>
      </c>
      <c r="C15" s="4" t="s">
        <v>25</v>
      </c>
      <c r="D15" t="s">
        <v>18</v>
      </c>
      <c r="E15">
        <v>80</v>
      </c>
      <c r="F15">
        <v>1</v>
      </c>
      <c r="G15" s="32">
        <v>1</v>
      </c>
      <c r="H15">
        <v>1</v>
      </c>
      <c r="J15" t="s">
        <v>19</v>
      </c>
      <c r="K15" t="s">
        <v>20</v>
      </c>
      <c r="L15" t="s">
        <v>26</v>
      </c>
    </row>
    <row r="16" spans="1:12">
      <c r="D16" s="34" t="s">
        <v>18</v>
      </c>
      <c r="E16">
        <v>90</v>
      </c>
      <c r="F16">
        <v>1</v>
      </c>
      <c r="H16">
        <v>1</v>
      </c>
      <c r="J16" t="s">
        <v>19</v>
      </c>
      <c r="K16" t="s">
        <v>34</v>
      </c>
      <c r="L16" t="s">
        <v>26</v>
      </c>
    </row>
    <row r="17" spans="2:12">
      <c r="D17" s="34" t="s">
        <v>18</v>
      </c>
      <c r="E17">
        <v>100</v>
      </c>
      <c r="F17">
        <v>1</v>
      </c>
      <c r="H17">
        <v>1</v>
      </c>
      <c r="J17" t="s">
        <v>19</v>
      </c>
      <c r="K17" t="s">
        <v>20</v>
      </c>
      <c r="L17" t="s">
        <v>26</v>
      </c>
    </row>
    <row r="18" spans="2:12">
      <c r="B18" t="s">
        <v>1</v>
      </c>
      <c r="C18" s="4" t="s">
        <v>25</v>
      </c>
      <c r="D18" t="s">
        <v>18</v>
      </c>
      <c r="E18">
        <v>110</v>
      </c>
      <c r="F18">
        <v>1</v>
      </c>
      <c r="G18" s="32">
        <v>2</v>
      </c>
      <c r="H18">
        <v>1</v>
      </c>
      <c r="J18" t="s">
        <v>19</v>
      </c>
      <c r="K18" t="s">
        <v>20</v>
      </c>
      <c r="L18" t="s">
        <v>26</v>
      </c>
    </row>
    <row r="19" spans="2:12">
      <c r="B19" t="s">
        <v>1</v>
      </c>
      <c r="C19" s="4" t="s">
        <v>25</v>
      </c>
      <c r="D19" t="s">
        <v>18</v>
      </c>
      <c r="E19">
        <v>110</v>
      </c>
      <c r="F19">
        <v>2</v>
      </c>
      <c r="G19" s="32">
        <v>1</v>
      </c>
      <c r="H19">
        <v>1</v>
      </c>
      <c r="J19" t="s">
        <v>35</v>
      </c>
      <c r="K19" t="s">
        <v>36</v>
      </c>
      <c r="L19" t="s">
        <v>26</v>
      </c>
    </row>
    <row r="20" spans="2:12">
      <c r="D20" s="34" t="s">
        <v>18</v>
      </c>
      <c r="E20">
        <v>120</v>
      </c>
      <c r="F20">
        <v>1</v>
      </c>
      <c r="H20">
        <v>1</v>
      </c>
      <c r="J20" t="s">
        <v>19</v>
      </c>
      <c r="K20" t="s">
        <v>20</v>
      </c>
      <c r="L20" t="s">
        <v>26</v>
      </c>
    </row>
    <row r="21" spans="2:12">
      <c r="D21" s="34" t="s">
        <v>18</v>
      </c>
      <c r="E21">
        <v>130</v>
      </c>
      <c r="F21">
        <v>1</v>
      </c>
      <c r="H21">
        <v>1</v>
      </c>
      <c r="J21" t="s">
        <v>19</v>
      </c>
      <c r="K21" t="s">
        <v>20</v>
      </c>
      <c r="L21" t="s">
        <v>26</v>
      </c>
    </row>
    <row r="22" spans="2:12">
      <c r="D22" s="34" t="s">
        <v>18</v>
      </c>
      <c r="E22">
        <v>130</v>
      </c>
      <c r="F22">
        <v>2</v>
      </c>
      <c r="H22">
        <v>1</v>
      </c>
      <c r="J22" t="s">
        <v>30</v>
      </c>
      <c r="K22" t="s">
        <v>31</v>
      </c>
      <c r="L22" t="s">
        <v>28</v>
      </c>
    </row>
    <row r="23" spans="2:12" ht="16.5">
      <c r="B23" t="s">
        <v>1</v>
      </c>
      <c r="C23" s="4" t="s">
        <v>25</v>
      </c>
      <c r="D23" t="s">
        <v>18</v>
      </c>
      <c r="E23">
        <v>140</v>
      </c>
      <c r="F23">
        <v>1</v>
      </c>
      <c r="G23" s="32">
        <v>1</v>
      </c>
      <c r="H23">
        <v>1</v>
      </c>
      <c r="J23" t="s">
        <v>32</v>
      </c>
      <c r="K23" s="13" t="s">
        <v>37</v>
      </c>
      <c r="L23" t="s">
        <v>28</v>
      </c>
    </row>
    <row r="24" spans="2:12">
      <c r="D24" s="34" t="s">
        <v>18</v>
      </c>
      <c r="E24">
        <v>150</v>
      </c>
      <c r="F24">
        <v>1</v>
      </c>
      <c r="H24">
        <v>1</v>
      </c>
      <c r="J24" t="s">
        <v>30</v>
      </c>
      <c r="K24" t="s">
        <v>31</v>
      </c>
      <c r="L24" t="s">
        <v>28</v>
      </c>
    </row>
    <row r="25" spans="2:12">
      <c r="D25" s="34" t="s">
        <v>18</v>
      </c>
      <c r="E25">
        <v>160</v>
      </c>
      <c r="F25">
        <v>0</v>
      </c>
    </row>
    <row r="26" spans="2:12">
      <c r="D26" s="34" t="s">
        <v>18</v>
      </c>
      <c r="E26">
        <v>170</v>
      </c>
      <c r="F26">
        <v>1</v>
      </c>
      <c r="H26">
        <v>1</v>
      </c>
      <c r="J26" t="s">
        <v>38</v>
      </c>
      <c r="K26" t="s">
        <v>27</v>
      </c>
      <c r="L26" t="s">
        <v>28</v>
      </c>
    </row>
    <row r="27" spans="2:12">
      <c r="D27" s="34" t="s">
        <v>18</v>
      </c>
      <c r="E27">
        <v>180</v>
      </c>
      <c r="F27">
        <v>1</v>
      </c>
      <c r="H27">
        <v>1</v>
      </c>
      <c r="J27" t="s">
        <v>38</v>
      </c>
      <c r="K27" t="s">
        <v>34</v>
      </c>
      <c r="L27" t="s">
        <v>28</v>
      </c>
    </row>
    <row r="28" spans="2:12">
      <c r="B28" t="s">
        <v>1</v>
      </c>
      <c r="C28" s="4" t="s">
        <v>25</v>
      </c>
      <c r="D28" t="s">
        <v>18</v>
      </c>
      <c r="E28">
        <v>190</v>
      </c>
      <c r="F28">
        <v>1</v>
      </c>
      <c r="G28" s="32">
        <v>2</v>
      </c>
      <c r="H28">
        <v>1</v>
      </c>
      <c r="J28" t="s">
        <v>19</v>
      </c>
      <c r="K28" t="s">
        <v>20</v>
      </c>
      <c r="L28" t="s">
        <v>26</v>
      </c>
    </row>
    <row r="29" spans="2:12">
      <c r="B29" t="s">
        <v>1</v>
      </c>
      <c r="C29" s="4" t="s">
        <v>25</v>
      </c>
      <c r="D29" t="s">
        <v>18</v>
      </c>
      <c r="E29">
        <v>190</v>
      </c>
      <c r="F29">
        <v>1</v>
      </c>
      <c r="G29" s="32">
        <v>1</v>
      </c>
      <c r="H29">
        <v>1</v>
      </c>
      <c r="J29" t="s">
        <v>35</v>
      </c>
      <c r="K29" t="s">
        <v>33</v>
      </c>
      <c r="L29" t="s">
        <v>39</v>
      </c>
    </row>
    <row r="30" spans="2:12">
      <c r="B30" t="s">
        <v>1</v>
      </c>
      <c r="C30" s="4" t="s">
        <v>25</v>
      </c>
      <c r="D30" t="s">
        <v>18</v>
      </c>
      <c r="E30">
        <v>200</v>
      </c>
      <c r="F30">
        <v>1</v>
      </c>
      <c r="G30" s="32">
        <v>2</v>
      </c>
      <c r="H30">
        <v>1</v>
      </c>
      <c r="J30" t="s">
        <v>19</v>
      </c>
      <c r="K30" t="s">
        <v>20</v>
      </c>
      <c r="L30" t="s">
        <v>26</v>
      </c>
    </row>
    <row r="31" spans="2:12">
      <c r="B31" t="s">
        <v>1</v>
      </c>
      <c r="C31" s="4" t="s">
        <v>25</v>
      </c>
      <c r="D31" t="s">
        <v>18</v>
      </c>
      <c r="E31">
        <v>200</v>
      </c>
      <c r="F31">
        <v>2</v>
      </c>
      <c r="G31" s="32">
        <v>1</v>
      </c>
      <c r="H31">
        <v>1</v>
      </c>
      <c r="J31" t="s">
        <v>35</v>
      </c>
      <c r="K31" t="s">
        <v>36</v>
      </c>
      <c r="L31" t="s">
        <v>28</v>
      </c>
    </row>
    <row r="32" spans="2:12">
      <c r="B32" t="s">
        <v>1</v>
      </c>
      <c r="C32" s="4" t="s">
        <v>25</v>
      </c>
      <c r="D32" t="s">
        <v>18</v>
      </c>
      <c r="E32">
        <v>210</v>
      </c>
      <c r="F32">
        <v>1</v>
      </c>
      <c r="G32" s="32">
        <v>1</v>
      </c>
      <c r="H32">
        <v>1</v>
      </c>
      <c r="J32" t="s">
        <v>19</v>
      </c>
      <c r="K32" t="s">
        <v>20</v>
      </c>
      <c r="L32" t="s">
        <v>26</v>
      </c>
    </row>
    <row r="33" spans="1:13">
      <c r="D33" s="34" t="s">
        <v>18</v>
      </c>
      <c r="E33">
        <v>220</v>
      </c>
      <c r="F33">
        <v>1</v>
      </c>
      <c r="H33">
        <v>1</v>
      </c>
      <c r="J33" t="s">
        <v>19</v>
      </c>
      <c r="K33" t="s">
        <v>20</v>
      </c>
      <c r="L33" t="s">
        <v>26</v>
      </c>
    </row>
    <row r="34" spans="1:13">
      <c r="D34" s="34" t="s">
        <v>18</v>
      </c>
      <c r="E34">
        <v>220</v>
      </c>
      <c r="F34">
        <v>2</v>
      </c>
      <c r="H34">
        <v>1</v>
      </c>
      <c r="J34" t="s">
        <v>30</v>
      </c>
      <c r="K34" t="s">
        <v>31</v>
      </c>
      <c r="L34" t="s">
        <v>28</v>
      </c>
    </row>
    <row r="35" spans="1:13" s="12" customFormat="1">
      <c r="A35"/>
      <c r="B35" t="s">
        <v>1</v>
      </c>
      <c r="C35" s="4" t="s">
        <v>25</v>
      </c>
      <c r="D35" t="s">
        <v>18</v>
      </c>
      <c r="E35">
        <v>230</v>
      </c>
      <c r="F35">
        <v>1</v>
      </c>
      <c r="G35" s="32">
        <v>1</v>
      </c>
      <c r="H35">
        <v>1</v>
      </c>
      <c r="I35"/>
      <c r="J35" t="s">
        <v>19</v>
      </c>
      <c r="K35" t="s">
        <v>20</v>
      </c>
      <c r="L35" t="s">
        <v>26</v>
      </c>
      <c r="M35" s="15"/>
    </row>
    <row r="36" spans="1:13" s="12" customFormat="1">
      <c r="A36"/>
      <c r="B36" t="s">
        <v>1</v>
      </c>
      <c r="C36" s="4" t="s">
        <v>25</v>
      </c>
      <c r="D36" t="s">
        <v>18</v>
      </c>
      <c r="E36">
        <v>240</v>
      </c>
      <c r="F36">
        <v>1</v>
      </c>
      <c r="G36" s="32">
        <v>1</v>
      </c>
      <c r="H36">
        <v>1</v>
      </c>
      <c r="I36"/>
      <c r="J36" t="s">
        <v>19</v>
      </c>
      <c r="K36" t="s">
        <v>20</v>
      </c>
      <c r="L36" t="s">
        <v>26</v>
      </c>
      <c r="M36" s="15"/>
    </row>
    <row r="37" spans="1:13">
      <c r="B37" t="s">
        <v>1</v>
      </c>
      <c r="C37" s="4" t="s">
        <v>25</v>
      </c>
      <c r="D37" t="s">
        <v>18</v>
      </c>
      <c r="E37">
        <v>240</v>
      </c>
      <c r="F37">
        <v>2</v>
      </c>
      <c r="G37" s="32">
        <v>2</v>
      </c>
      <c r="H37">
        <v>1</v>
      </c>
      <c r="J37" t="s">
        <v>35</v>
      </c>
      <c r="K37" t="s">
        <v>33</v>
      </c>
      <c r="L37" t="s">
        <v>28</v>
      </c>
    </row>
    <row r="38" spans="1:13">
      <c r="B38" t="s">
        <v>1</v>
      </c>
      <c r="C38" s="4" t="s">
        <v>25</v>
      </c>
      <c r="D38" t="s">
        <v>18</v>
      </c>
      <c r="E38">
        <v>250</v>
      </c>
      <c r="F38">
        <v>1</v>
      </c>
      <c r="G38" s="32">
        <v>1</v>
      </c>
      <c r="H38">
        <v>1</v>
      </c>
      <c r="J38" t="s">
        <v>19</v>
      </c>
      <c r="K38" t="s">
        <v>20</v>
      </c>
      <c r="L38" t="s">
        <v>26</v>
      </c>
    </row>
    <row r="39" spans="1:13">
      <c r="B39" t="s">
        <v>1</v>
      </c>
      <c r="C39" s="4" t="s">
        <v>25</v>
      </c>
      <c r="D39" t="s">
        <v>18</v>
      </c>
      <c r="E39">
        <v>260</v>
      </c>
      <c r="F39">
        <v>1</v>
      </c>
      <c r="G39" s="32">
        <v>1</v>
      </c>
      <c r="H39">
        <v>1</v>
      </c>
      <c r="J39" t="s">
        <v>19</v>
      </c>
      <c r="K39" t="s">
        <v>20</v>
      </c>
      <c r="L39" t="s">
        <v>26</v>
      </c>
    </row>
    <row r="40" spans="1:13">
      <c r="B40" t="s">
        <v>1</v>
      </c>
      <c r="C40" s="4" t="s">
        <v>25</v>
      </c>
      <c r="D40" t="s">
        <v>18</v>
      </c>
      <c r="E40">
        <v>260</v>
      </c>
      <c r="F40">
        <v>2</v>
      </c>
      <c r="G40" s="32">
        <v>0</v>
      </c>
      <c r="H40">
        <v>0</v>
      </c>
      <c r="J40" t="s">
        <v>40</v>
      </c>
      <c r="L40" t="s">
        <v>28</v>
      </c>
    </row>
    <row r="41" spans="1:13">
      <c r="B41" t="s">
        <v>1</v>
      </c>
      <c r="C41" s="4" t="s">
        <v>25</v>
      </c>
      <c r="D41" t="s">
        <v>18</v>
      </c>
      <c r="E41">
        <v>270</v>
      </c>
      <c r="F41">
        <v>1</v>
      </c>
      <c r="G41" s="32">
        <v>1</v>
      </c>
      <c r="H41">
        <v>1</v>
      </c>
      <c r="J41" t="s">
        <v>19</v>
      </c>
      <c r="K41" t="s">
        <v>20</v>
      </c>
      <c r="L41" t="s">
        <v>26</v>
      </c>
    </row>
    <row r="42" spans="1:13">
      <c r="B42" t="s">
        <v>1</v>
      </c>
      <c r="C42" s="4" t="s">
        <v>25</v>
      </c>
      <c r="D42" t="s">
        <v>18</v>
      </c>
      <c r="E42">
        <v>270</v>
      </c>
      <c r="F42">
        <v>2</v>
      </c>
      <c r="G42" s="32">
        <v>2</v>
      </c>
      <c r="H42">
        <v>1</v>
      </c>
      <c r="J42" t="s">
        <v>40</v>
      </c>
      <c r="K42" t="s">
        <v>36</v>
      </c>
      <c r="L42" t="s">
        <v>28</v>
      </c>
    </row>
    <row r="43" spans="1:13">
      <c r="B43" t="s">
        <v>1</v>
      </c>
      <c r="C43" s="4" t="s">
        <v>25</v>
      </c>
      <c r="D43" t="s">
        <v>18</v>
      </c>
      <c r="E43">
        <v>280</v>
      </c>
      <c r="F43">
        <v>1</v>
      </c>
      <c r="G43" s="32">
        <v>1</v>
      </c>
      <c r="H43">
        <v>1</v>
      </c>
      <c r="J43" t="s">
        <v>19</v>
      </c>
      <c r="K43" t="s">
        <v>20</v>
      </c>
      <c r="L43" t="s">
        <v>26</v>
      </c>
    </row>
    <row r="44" spans="1:13">
      <c r="B44" t="s">
        <v>1</v>
      </c>
      <c r="C44" s="4" t="s">
        <v>25</v>
      </c>
      <c r="D44" t="s">
        <v>18</v>
      </c>
      <c r="E44">
        <v>280</v>
      </c>
      <c r="F44">
        <v>2</v>
      </c>
      <c r="G44" s="32">
        <v>2</v>
      </c>
      <c r="H44">
        <v>1</v>
      </c>
      <c r="J44" t="s">
        <v>40</v>
      </c>
      <c r="K44" t="s">
        <v>29</v>
      </c>
      <c r="L44" t="s">
        <v>28</v>
      </c>
    </row>
    <row r="45" spans="1:13">
      <c r="D45" s="34" t="s">
        <v>18</v>
      </c>
      <c r="E45">
        <v>290</v>
      </c>
      <c r="F45">
        <v>1</v>
      </c>
      <c r="H45">
        <v>1</v>
      </c>
      <c r="J45" t="s">
        <v>19</v>
      </c>
      <c r="K45" t="s">
        <v>34</v>
      </c>
      <c r="L45" t="s">
        <v>26</v>
      </c>
    </row>
    <row r="46" spans="1:13">
      <c r="D46" s="34" t="s">
        <v>18</v>
      </c>
      <c r="E46">
        <v>290</v>
      </c>
      <c r="F46">
        <v>2</v>
      </c>
      <c r="H46">
        <v>0</v>
      </c>
      <c r="J46" t="s">
        <v>22</v>
      </c>
      <c r="L46" t="s">
        <v>28</v>
      </c>
    </row>
    <row r="47" spans="1:13">
      <c r="B47" t="s">
        <v>1</v>
      </c>
      <c r="C47" s="4" t="s">
        <v>25</v>
      </c>
      <c r="D47" t="s">
        <v>18</v>
      </c>
      <c r="E47">
        <v>300</v>
      </c>
      <c r="F47">
        <v>1</v>
      </c>
      <c r="G47" s="32">
        <v>2</v>
      </c>
      <c r="H47">
        <v>1</v>
      </c>
      <c r="J47" t="s">
        <v>19</v>
      </c>
      <c r="K47" t="s">
        <v>20</v>
      </c>
      <c r="L47" t="s">
        <v>26</v>
      </c>
    </row>
    <row r="48" spans="1:13">
      <c r="B48" t="s">
        <v>1</v>
      </c>
      <c r="C48" s="4" t="s">
        <v>25</v>
      </c>
      <c r="D48" t="s">
        <v>18</v>
      </c>
      <c r="E48">
        <v>300</v>
      </c>
      <c r="F48">
        <v>2</v>
      </c>
      <c r="G48" s="32">
        <v>1</v>
      </c>
      <c r="H48">
        <v>1</v>
      </c>
      <c r="J48" t="s">
        <v>40</v>
      </c>
      <c r="K48" t="s">
        <v>33</v>
      </c>
      <c r="L48" t="s">
        <v>28</v>
      </c>
    </row>
    <row r="49" spans="2:12">
      <c r="B49" t="s">
        <v>1</v>
      </c>
      <c r="C49" s="4" t="s">
        <v>25</v>
      </c>
      <c r="D49" t="s">
        <v>18</v>
      </c>
      <c r="E49">
        <v>310</v>
      </c>
      <c r="F49">
        <v>1</v>
      </c>
      <c r="G49" s="32">
        <v>1</v>
      </c>
      <c r="H49">
        <v>1</v>
      </c>
      <c r="J49" t="s">
        <v>19</v>
      </c>
      <c r="K49" t="s">
        <v>20</v>
      </c>
      <c r="L49" t="s">
        <v>26</v>
      </c>
    </row>
    <row r="50" spans="2:12">
      <c r="B50" t="s">
        <v>1</v>
      </c>
      <c r="C50" s="4" t="s">
        <v>25</v>
      </c>
      <c r="D50" t="s">
        <v>18</v>
      </c>
      <c r="E50">
        <v>320</v>
      </c>
      <c r="F50">
        <v>1</v>
      </c>
      <c r="G50" s="32">
        <v>1</v>
      </c>
      <c r="H50">
        <v>1</v>
      </c>
      <c r="J50" t="s">
        <v>19</v>
      </c>
      <c r="K50" t="s">
        <v>20</v>
      </c>
      <c r="L50" t="s">
        <v>26</v>
      </c>
    </row>
    <row r="51" spans="2:12">
      <c r="B51" t="s">
        <v>1</v>
      </c>
      <c r="C51" s="4" t="s">
        <v>25</v>
      </c>
      <c r="D51" t="s">
        <v>18</v>
      </c>
      <c r="E51">
        <v>320</v>
      </c>
      <c r="F51">
        <v>2</v>
      </c>
      <c r="G51" s="32">
        <v>0</v>
      </c>
      <c r="H51">
        <v>0</v>
      </c>
      <c r="J51" t="s">
        <v>32</v>
      </c>
      <c r="L51" t="s">
        <v>28</v>
      </c>
    </row>
    <row r="52" spans="2:12">
      <c r="D52" s="34" t="s">
        <v>18</v>
      </c>
      <c r="E52">
        <v>330</v>
      </c>
      <c r="F52">
        <v>1</v>
      </c>
      <c r="H52">
        <v>1</v>
      </c>
      <c r="J52" t="s">
        <v>19</v>
      </c>
      <c r="K52" t="s">
        <v>20</v>
      </c>
      <c r="L52" t="s">
        <v>26</v>
      </c>
    </row>
    <row r="53" spans="2:12">
      <c r="D53" s="34" t="s">
        <v>18</v>
      </c>
      <c r="E53">
        <v>330</v>
      </c>
      <c r="F53">
        <v>2</v>
      </c>
      <c r="H53">
        <v>1</v>
      </c>
      <c r="J53" t="s">
        <v>30</v>
      </c>
      <c r="K53" t="s">
        <v>34</v>
      </c>
      <c r="L53" t="s">
        <v>28</v>
      </c>
    </row>
    <row r="54" spans="2:12">
      <c r="D54" t="s">
        <v>41</v>
      </c>
      <c r="E54">
        <v>0</v>
      </c>
      <c r="F54">
        <v>1</v>
      </c>
      <c r="H54">
        <v>1</v>
      </c>
      <c r="J54" t="s">
        <v>19</v>
      </c>
      <c r="K54" t="s">
        <v>20</v>
      </c>
      <c r="L54" t="s">
        <v>26</v>
      </c>
    </row>
    <row r="55" spans="2:12">
      <c r="D55" t="s">
        <v>41</v>
      </c>
      <c r="E55">
        <v>0</v>
      </c>
      <c r="F55">
        <v>2</v>
      </c>
      <c r="H55">
        <v>1</v>
      </c>
      <c r="J55" t="s">
        <v>30</v>
      </c>
      <c r="K55" t="s">
        <v>34</v>
      </c>
      <c r="L55" t="s">
        <v>28</v>
      </c>
    </row>
    <row r="56" spans="2:12">
      <c r="D56" t="s">
        <v>41</v>
      </c>
      <c r="E56">
        <v>10</v>
      </c>
      <c r="F56">
        <v>1</v>
      </c>
      <c r="H56">
        <v>1</v>
      </c>
      <c r="J56" t="s">
        <v>19</v>
      </c>
      <c r="K56" t="s">
        <v>20</v>
      </c>
      <c r="L56" t="s">
        <v>26</v>
      </c>
    </row>
    <row r="57" spans="2:12">
      <c r="D57" t="s">
        <v>41</v>
      </c>
      <c r="E57">
        <v>10</v>
      </c>
      <c r="F57">
        <v>2</v>
      </c>
      <c r="H57">
        <v>1</v>
      </c>
      <c r="J57" t="s">
        <v>30</v>
      </c>
      <c r="K57" t="s">
        <v>34</v>
      </c>
      <c r="L57" t="s">
        <v>28</v>
      </c>
    </row>
    <row r="58" spans="2:12">
      <c r="B58" t="s">
        <v>1</v>
      </c>
      <c r="C58" s="4" t="s">
        <v>25</v>
      </c>
      <c r="D58" s="1" t="s">
        <v>41</v>
      </c>
      <c r="E58">
        <v>20</v>
      </c>
      <c r="F58">
        <v>1</v>
      </c>
      <c r="G58" s="32">
        <v>2</v>
      </c>
      <c r="H58">
        <v>1</v>
      </c>
      <c r="J58" t="s">
        <v>19</v>
      </c>
      <c r="K58" t="s">
        <v>20</v>
      </c>
      <c r="L58" t="s">
        <v>26</v>
      </c>
    </row>
    <row r="59" spans="2:12" ht="17.25" customHeight="1">
      <c r="B59" t="s">
        <v>1</v>
      </c>
      <c r="C59" s="4" t="s">
        <v>25</v>
      </c>
      <c r="D59" s="1" t="s">
        <v>41</v>
      </c>
      <c r="E59">
        <v>20</v>
      </c>
      <c r="F59">
        <v>2</v>
      </c>
      <c r="G59" s="32">
        <v>1</v>
      </c>
      <c r="H59">
        <v>1</v>
      </c>
      <c r="J59" t="s">
        <v>32</v>
      </c>
      <c r="K59" t="s">
        <v>33</v>
      </c>
      <c r="L59" t="s">
        <v>28</v>
      </c>
    </row>
    <row r="60" spans="2:12" ht="17.25" customHeight="1">
      <c r="D60" t="s">
        <v>41</v>
      </c>
      <c r="E60">
        <v>30</v>
      </c>
      <c r="F60">
        <v>1</v>
      </c>
      <c r="H60">
        <v>1</v>
      </c>
      <c r="J60" t="s">
        <v>19</v>
      </c>
      <c r="K60" t="s">
        <v>20</v>
      </c>
      <c r="L60" t="s">
        <v>26</v>
      </c>
    </row>
    <row r="61" spans="2:12" ht="17.25" customHeight="1">
      <c r="B61" t="s">
        <v>1</v>
      </c>
      <c r="C61" s="4" t="s">
        <v>25</v>
      </c>
      <c r="D61" s="1" t="s">
        <v>41</v>
      </c>
      <c r="E61">
        <v>40</v>
      </c>
      <c r="F61">
        <v>1</v>
      </c>
      <c r="G61" s="32">
        <v>1</v>
      </c>
      <c r="H61">
        <v>1</v>
      </c>
      <c r="J61" t="s">
        <v>19</v>
      </c>
      <c r="K61" t="s">
        <v>20</v>
      </c>
      <c r="L61" t="s">
        <v>26</v>
      </c>
    </row>
    <row r="62" spans="2:12" ht="17.25" customHeight="1">
      <c r="D62" t="s">
        <v>41</v>
      </c>
      <c r="E62">
        <v>50</v>
      </c>
      <c r="F62">
        <v>1</v>
      </c>
      <c r="H62">
        <v>0</v>
      </c>
      <c r="J62" t="s">
        <v>19</v>
      </c>
      <c r="L62" t="s">
        <v>26</v>
      </c>
    </row>
    <row r="63" spans="2:12" ht="17.25" customHeight="1">
      <c r="B63" t="s">
        <v>1</v>
      </c>
      <c r="C63" s="4" t="s">
        <v>25</v>
      </c>
      <c r="D63" s="1" t="s">
        <v>41</v>
      </c>
      <c r="E63">
        <v>60</v>
      </c>
      <c r="F63">
        <v>1</v>
      </c>
      <c r="G63" s="32">
        <v>1</v>
      </c>
      <c r="H63">
        <v>1</v>
      </c>
      <c r="J63" t="s">
        <v>19</v>
      </c>
      <c r="K63" t="s">
        <v>20</v>
      </c>
      <c r="L63" t="s">
        <v>26</v>
      </c>
    </row>
    <row r="64" spans="2:12" ht="17.25" customHeight="1">
      <c r="B64" t="s">
        <v>1</v>
      </c>
      <c r="C64" s="4" t="s">
        <v>25</v>
      </c>
      <c r="D64" s="1" t="s">
        <v>41</v>
      </c>
      <c r="E64">
        <v>70</v>
      </c>
      <c r="F64">
        <v>1</v>
      </c>
      <c r="G64" s="32">
        <v>2</v>
      </c>
      <c r="H64">
        <v>1</v>
      </c>
      <c r="J64" t="s">
        <v>19</v>
      </c>
      <c r="K64" t="s">
        <v>20</v>
      </c>
      <c r="L64" t="s">
        <v>26</v>
      </c>
    </row>
    <row r="65" spans="2:12">
      <c r="B65" t="s">
        <v>1</v>
      </c>
      <c r="C65" s="4" t="s">
        <v>25</v>
      </c>
      <c r="D65" s="1" t="s">
        <v>41</v>
      </c>
      <c r="E65">
        <v>70</v>
      </c>
      <c r="F65">
        <v>2</v>
      </c>
      <c r="G65" s="32">
        <v>1</v>
      </c>
      <c r="H65">
        <v>1</v>
      </c>
      <c r="J65" t="s">
        <v>19</v>
      </c>
      <c r="K65" t="s">
        <v>20</v>
      </c>
      <c r="L65" t="s">
        <v>26</v>
      </c>
    </row>
    <row r="66" spans="2:12">
      <c r="B66" t="s">
        <v>1</v>
      </c>
      <c r="C66" s="4" t="s">
        <v>25</v>
      </c>
      <c r="D66" s="1" t="s">
        <v>41</v>
      </c>
      <c r="E66">
        <v>80</v>
      </c>
      <c r="F66">
        <v>1</v>
      </c>
      <c r="G66" s="32">
        <v>1</v>
      </c>
      <c r="H66">
        <v>1</v>
      </c>
      <c r="J66" t="s">
        <v>19</v>
      </c>
      <c r="K66" t="s">
        <v>20</v>
      </c>
      <c r="L66" t="s">
        <v>26</v>
      </c>
    </row>
    <row r="67" spans="2:12">
      <c r="B67" t="s">
        <v>1</v>
      </c>
      <c r="C67" s="4" t="s">
        <v>25</v>
      </c>
      <c r="D67" s="1" t="s">
        <v>41</v>
      </c>
      <c r="E67">
        <v>80</v>
      </c>
      <c r="F67">
        <v>2</v>
      </c>
      <c r="G67" s="32">
        <v>3</v>
      </c>
      <c r="H67">
        <v>0</v>
      </c>
      <c r="J67" t="s">
        <v>42</v>
      </c>
      <c r="L67" t="s">
        <v>26</v>
      </c>
    </row>
    <row r="68" spans="2:12">
      <c r="D68" t="s">
        <v>41</v>
      </c>
      <c r="E68">
        <v>90</v>
      </c>
      <c r="I68" t="s">
        <v>43</v>
      </c>
    </row>
    <row r="69" spans="2:12">
      <c r="D69" t="s">
        <v>41</v>
      </c>
      <c r="E69">
        <v>100</v>
      </c>
      <c r="I69" t="s">
        <v>43</v>
      </c>
    </row>
    <row r="70" spans="2:12">
      <c r="B70" t="s">
        <v>1</v>
      </c>
      <c r="C70" s="4" t="s">
        <v>25</v>
      </c>
      <c r="D70" s="1" t="s">
        <v>41</v>
      </c>
      <c r="E70">
        <v>110</v>
      </c>
      <c r="F70">
        <v>1</v>
      </c>
      <c r="G70" s="32">
        <v>3</v>
      </c>
      <c r="H70">
        <v>0</v>
      </c>
      <c r="J70" t="s">
        <v>19</v>
      </c>
      <c r="L70" t="s">
        <v>26</v>
      </c>
    </row>
    <row r="71" spans="2:12">
      <c r="B71" t="s">
        <v>1</v>
      </c>
      <c r="C71" s="4" t="s">
        <v>25</v>
      </c>
      <c r="D71" s="1" t="s">
        <v>41</v>
      </c>
      <c r="E71">
        <v>110</v>
      </c>
      <c r="F71">
        <v>2</v>
      </c>
      <c r="G71" s="32">
        <v>2</v>
      </c>
      <c r="H71">
        <v>1</v>
      </c>
      <c r="J71" t="s">
        <v>42</v>
      </c>
      <c r="K71" t="s">
        <v>20</v>
      </c>
      <c r="L71" t="s">
        <v>26</v>
      </c>
    </row>
    <row r="72" spans="2:12">
      <c r="B72" t="s">
        <v>1</v>
      </c>
      <c r="C72" s="4" t="s">
        <v>25</v>
      </c>
      <c r="D72" s="1" t="s">
        <v>41</v>
      </c>
      <c r="E72">
        <v>120</v>
      </c>
      <c r="F72">
        <v>1</v>
      </c>
      <c r="G72" s="32">
        <v>1</v>
      </c>
      <c r="H72">
        <v>1</v>
      </c>
      <c r="J72" t="s">
        <v>19</v>
      </c>
      <c r="K72" t="s">
        <v>20</v>
      </c>
      <c r="L72" t="s">
        <v>26</v>
      </c>
    </row>
    <row r="73" spans="2:12">
      <c r="B73" t="s">
        <v>1</v>
      </c>
      <c r="C73" s="4" t="s">
        <v>25</v>
      </c>
      <c r="D73" s="1" t="s">
        <v>41</v>
      </c>
      <c r="E73">
        <v>120</v>
      </c>
      <c r="F73">
        <v>2</v>
      </c>
      <c r="G73" s="32">
        <v>3</v>
      </c>
      <c r="H73">
        <v>0</v>
      </c>
      <c r="J73" t="s">
        <v>42</v>
      </c>
      <c r="L73" t="s">
        <v>26</v>
      </c>
    </row>
    <row r="74" spans="2:12">
      <c r="B74" t="s">
        <v>1</v>
      </c>
      <c r="C74" s="4" t="s">
        <v>25</v>
      </c>
      <c r="D74" s="1" t="s">
        <v>41</v>
      </c>
      <c r="E74">
        <v>130</v>
      </c>
      <c r="F74">
        <v>1</v>
      </c>
      <c r="G74" s="32">
        <v>0</v>
      </c>
      <c r="H74">
        <v>0</v>
      </c>
      <c r="J74" t="s">
        <v>35</v>
      </c>
      <c r="L74" t="s">
        <v>28</v>
      </c>
    </row>
    <row r="75" spans="2:12">
      <c r="B75" t="s">
        <v>1</v>
      </c>
      <c r="C75" s="4" t="s">
        <v>25</v>
      </c>
      <c r="D75" s="1" t="s">
        <v>41</v>
      </c>
      <c r="E75">
        <v>130</v>
      </c>
      <c r="F75">
        <v>2</v>
      </c>
      <c r="G75" s="32">
        <v>3</v>
      </c>
      <c r="H75">
        <v>0</v>
      </c>
      <c r="J75" t="s">
        <v>19</v>
      </c>
      <c r="L75" t="s">
        <v>26</v>
      </c>
    </row>
    <row r="76" spans="2:12">
      <c r="D76" t="s">
        <v>41</v>
      </c>
      <c r="E76">
        <v>140</v>
      </c>
      <c r="I76" t="s">
        <v>43</v>
      </c>
    </row>
    <row r="77" spans="2:12">
      <c r="D77" t="s">
        <v>41</v>
      </c>
      <c r="E77">
        <v>150</v>
      </c>
      <c r="I77" t="s">
        <v>43</v>
      </c>
    </row>
    <row r="78" spans="2:12">
      <c r="B78" t="s">
        <v>1</v>
      </c>
      <c r="C78" s="4" t="s">
        <v>25</v>
      </c>
      <c r="D78" s="1" t="s">
        <v>41</v>
      </c>
      <c r="E78">
        <v>160</v>
      </c>
      <c r="F78">
        <v>1</v>
      </c>
      <c r="G78" s="32">
        <v>3</v>
      </c>
      <c r="H78">
        <v>0</v>
      </c>
      <c r="J78" t="s">
        <v>19</v>
      </c>
      <c r="L78" t="s">
        <v>26</v>
      </c>
    </row>
    <row r="79" spans="2:12">
      <c r="D79" t="s">
        <v>41</v>
      </c>
      <c r="E79">
        <v>170</v>
      </c>
      <c r="I79" t="s">
        <v>43</v>
      </c>
    </row>
    <row r="80" spans="2:12">
      <c r="D80" t="s">
        <v>41</v>
      </c>
      <c r="E80">
        <v>180</v>
      </c>
      <c r="I80" t="s">
        <v>43</v>
      </c>
    </row>
    <row r="81" spans="2:12">
      <c r="D81" t="s">
        <v>41</v>
      </c>
      <c r="E81">
        <v>190</v>
      </c>
      <c r="I81" t="s">
        <v>43</v>
      </c>
    </row>
    <row r="82" spans="2:12">
      <c r="B82" t="s">
        <v>1</v>
      </c>
      <c r="C82" s="4" t="s">
        <v>25</v>
      </c>
      <c r="D82" s="1" t="s">
        <v>41</v>
      </c>
      <c r="E82">
        <v>200</v>
      </c>
      <c r="F82">
        <v>1</v>
      </c>
      <c r="G82" s="32">
        <v>1</v>
      </c>
      <c r="H82">
        <v>1</v>
      </c>
      <c r="J82" t="s">
        <v>19</v>
      </c>
      <c r="L82" t="s">
        <v>26</v>
      </c>
    </row>
    <row r="83" spans="2:12">
      <c r="B83" t="s">
        <v>1</v>
      </c>
      <c r="C83" s="4" t="s">
        <v>25</v>
      </c>
      <c r="D83" s="1" t="s">
        <v>41</v>
      </c>
      <c r="E83">
        <v>200</v>
      </c>
      <c r="F83">
        <v>2</v>
      </c>
      <c r="G83" s="32">
        <v>0</v>
      </c>
      <c r="H83">
        <v>0</v>
      </c>
      <c r="J83" t="s">
        <v>42</v>
      </c>
      <c r="L83" t="s">
        <v>26</v>
      </c>
    </row>
    <row r="84" spans="2:12">
      <c r="D84" t="s">
        <v>41</v>
      </c>
      <c r="E84">
        <v>210</v>
      </c>
      <c r="F84">
        <v>1</v>
      </c>
      <c r="H84">
        <v>0</v>
      </c>
      <c r="J84" t="s">
        <v>19</v>
      </c>
      <c r="L84" t="s">
        <v>26</v>
      </c>
    </row>
    <row r="85" spans="2:12">
      <c r="D85" t="s">
        <v>41</v>
      </c>
      <c r="E85">
        <v>220</v>
      </c>
      <c r="F85">
        <v>1</v>
      </c>
      <c r="H85">
        <v>1</v>
      </c>
      <c r="J85" t="s">
        <v>19</v>
      </c>
      <c r="K85" t="s">
        <v>34</v>
      </c>
      <c r="L85" t="s">
        <v>26</v>
      </c>
    </row>
    <row r="86" spans="2:12">
      <c r="D86" t="s">
        <v>41</v>
      </c>
      <c r="E86">
        <v>230</v>
      </c>
      <c r="F86">
        <v>1</v>
      </c>
      <c r="H86">
        <v>1</v>
      </c>
      <c r="J86" t="s">
        <v>19</v>
      </c>
      <c r="K86" t="s">
        <v>20</v>
      </c>
      <c r="L86" t="s">
        <v>26</v>
      </c>
    </row>
    <row r="87" spans="2:12">
      <c r="D87" t="s">
        <v>41</v>
      </c>
      <c r="E87">
        <v>240</v>
      </c>
      <c r="F87">
        <v>1</v>
      </c>
      <c r="H87">
        <v>1</v>
      </c>
      <c r="J87" t="s">
        <v>19</v>
      </c>
      <c r="K87" t="s">
        <v>20</v>
      </c>
      <c r="L87" t="s">
        <v>26</v>
      </c>
    </row>
    <row r="88" spans="2:12">
      <c r="D88" t="s">
        <v>41</v>
      </c>
      <c r="E88">
        <v>240</v>
      </c>
      <c r="F88">
        <v>2</v>
      </c>
      <c r="H88">
        <v>1</v>
      </c>
      <c r="J88" t="s">
        <v>38</v>
      </c>
      <c r="K88" t="s">
        <v>34</v>
      </c>
      <c r="L88" t="s">
        <v>28</v>
      </c>
    </row>
    <row r="89" spans="2:12">
      <c r="D89" t="s">
        <v>41</v>
      </c>
      <c r="E89">
        <v>250</v>
      </c>
      <c r="F89">
        <v>1</v>
      </c>
      <c r="H89">
        <v>1</v>
      </c>
      <c r="J89" t="s">
        <v>19</v>
      </c>
      <c r="K89" t="s">
        <v>20</v>
      </c>
      <c r="L89" t="s">
        <v>26</v>
      </c>
    </row>
    <row r="90" spans="2:12">
      <c r="D90" t="s">
        <v>41</v>
      </c>
      <c r="E90">
        <v>250</v>
      </c>
      <c r="F90">
        <v>2</v>
      </c>
      <c r="H90">
        <v>1</v>
      </c>
      <c r="J90" t="s">
        <v>38</v>
      </c>
      <c r="K90" t="s">
        <v>27</v>
      </c>
      <c r="L90" t="s">
        <v>28</v>
      </c>
    </row>
    <row r="91" spans="2:12">
      <c r="D91" t="s">
        <v>41</v>
      </c>
      <c r="E91">
        <v>260</v>
      </c>
      <c r="F91">
        <v>1</v>
      </c>
      <c r="H91">
        <v>1</v>
      </c>
      <c r="J91" t="s">
        <v>19</v>
      </c>
      <c r="K91" t="s">
        <v>20</v>
      </c>
      <c r="L91" t="s">
        <v>26</v>
      </c>
    </row>
    <row r="92" spans="2:12">
      <c r="D92" t="s">
        <v>41</v>
      </c>
      <c r="E92">
        <v>260</v>
      </c>
      <c r="F92">
        <v>2</v>
      </c>
      <c r="H92">
        <v>1</v>
      </c>
      <c r="J92" t="s">
        <v>38</v>
      </c>
      <c r="K92" t="s">
        <v>27</v>
      </c>
      <c r="L92" t="s">
        <v>28</v>
      </c>
    </row>
    <row r="93" spans="2:12">
      <c r="B93" t="s">
        <v>1</v>
      </c>
      <c r="C93" s="4" t="s">
        <v>25</v>
      </c>
      <c r="D93" s="1" t="s">
        <v>41</v>
      </c>
      <c r="E93">
        <v>270</v>
      </c>
      <c r="F93">
        <v>1</v>
      </c>
      <c r="G93" s="32">
        <v>1</v>
      </c>
      <c r="H93">
        <v>1</v>
      </c>
      <c r="J93" t="s">
        <v>19</v>
      </c>
      <c r="K93" t="s">
        <v>20</v>
      </c>
      <c r="L93" t="s">
        <v>26</v>
      </c>
    </row>
    <row r="94" spans="2:12">
      <c r="B94" t="s">
        <v>1</v>
      </c>
      <c r="C94" s="4" t="s">
        <v>25</v>
      </c>
      <c r="D94" s="1" t="s">
        <v>41</v>
      </c>
      <c r="E94">
        <v>270</v>
      </c>
      <c r="F94">
        <v>2</v>
      </c>
      <c r="G94" s="32">
        <v>0</v>
      </c>
      <c r="H94">
        <v>0</v>
      </c>
      <c r="J94" t="s">
        <v>35</v>
      </c>
      <c r="L94" t="s">
        <v>28</v>
      </c>
    </row>
    <row r="95" spans="2:12">
      <c r="B95" t="s">
        <v>1</v>
      </c>
      <c r="C95" s="4" t="s">
        <v>25</v>
      </c>
      <c r="D95" s="1" t="s">
        <v>41</v>
      </c>
      <c r="E95">
        <v>280</v>
      </c>
      <c r="F95">
        <v>1</v>
      </c>
      <c r="G95" s="32">
        <v>1</v>
      </c>
      <c r="H95">
        <v>1</v>
      </c>
      <c r="J95" t="s">
        <v>19</v>
      </c>
      <c r="K95" t="s">
        <v>20</v>
      </c>
      <c r="L95" t="s">
        <v>26</v>
      </c>
    </row>
    <row r="96" spans="2:12">
      <c r="B96" t="s">
        <v>1</v>
      </c>
      <c r="C96" s="4" t="s">
        <v>25</v>
      </c>
      <c r="D96" s="1" t="s">
        <v>41</v>
      </c>
      <c r="E96">
        <v>280</v>
      </c>
      <c r="F96">
        <v>2</v>
      </c>
      <c r="G96" s="32">
        <v>2</v>
      </c>
      <c r="H96">
        <v>1</v>
      </c>
      <c r="J96" t="s">
        <v>35</v>
      </c>
      <c r="K96" t="s">
        <v>36</v>
      </c>
      <c r="L96" t="s">
        <v>28</v>
      </c>
    </row>
    <row r="97" spans="2:12">
      <c r="B97" t="s">
        <v>1</v>
      </c>
      <c r="C97" s="4" t="s">
        <v>25</v>
      </c>
      <c r="D97" s="1" t="s">
        <v>41</v>
      </c>
      <c r="E97">
        <v>290</v>
      </c>
      <c r="F97">
        <v>1</v>
      </c>
      <c r="G97" s="32">
        <v>1</v>
      </c>
      <c r="H97">
        <v>1</v>
      </c>
      <c r="J97" t="s">
        <v>19</v>
      </c>
      <c r="K97" t="s">
        <v>20</v>
      </c>
      <c r="L97" t="s">
        <v>26</v>
      </c>
    </row>
    <row r="98" spans="2:12">
      <c r="B98" t="s">
        <v>1</v>
      </c>
      <c r="C98" s="4" t="s">
        <v>25</v>
      </c>
      <c r="D98" s="1" t="s">
        <v>41</v>
      </c>
      <c r="E98">
        <v>290</v>
      </c>
      <c r="F98">
        <v>2</v>
      </c>
      <c r="G98" s="32">
        <v>2</v>
      </c>
      <c r="H98">
        <v>1</v>
      </c>
      <c r="J98" t="s">
        <v>35</v>
      </c>
      <c r="K98" t="s">
        <v>36</v>
      </c>
      <c r="L98" t="s">
        <v>28</v>
      </c>
    </row>
    <row r="99" spans="2:12">
      <c r="B99" t="s">
        <v>1</v>
      </c>
      <c r="C99" s="4" t="s">
        <v>25</v>
      </c>
      <c r="D99" s="1" t="s">
        <v>41</v>
      </c>
      <c r="E99">
        <v>300</v>
      </c>
      <c r="F99">
        <v>1</v>
      </c>
      <c r="G99" s="32">
        <v>1</v>
      </c>
      <c r="H99">
        <v>1</v>
      </c>
      <c r="J99" t="s">
        <v>19</v>
      </c>
      <c r="K99" t="s">
        <v>20</v>
      </c>
      <c r="L99" t="s">
        <v>26</v>
      </c>
    </row>
    <row r="100" spans="2:12">
      <c r="B100" t="s">
        <v>1</v>
      </c>
      <c r="C100" s="4" t="s">
        <v>25</v>
      </c>
      <c r="D100" s="1" t="s">
        <v>41</v>
      </c>
      <c r="E100">
        <v>300</v>
      </c>
      <c r="F100">
        <v>2</v>
      </c>
      <c r="G100" s="32">
        <v>2</v>
      </c>
      <c r="H100">
        <v>1</v>
      </c>
      <c r="J100" t="s">
        <v>35</v>
      </c>
      <c r="K100" t="s">
        <v>33</v>
      </c>
      <c r="L100" t="s">
        <v>28</v>
      </c>
    </row>
    <row r="101" spans="2:12">
      <c r="B101" t="s">
        <v>1</v>
      </c>
      <c r="C101" s="4" t="s">
        <v>25</v>
      </c>
      <c r="D101" s="1" t="s">
        <v>41</v>
      </c>
      <c r="E101">
        <v>310</v>
      </c>
      <c r="F101">
        <v>1</v>
      </c>
      <c r="G101" s="32">
        <v>1</v>
      </c>
      <c r="H101">
        <v>1</v>
      </c>
      <c r="J101" t="s">
        <v>19</v>
      </c>
      <c r="K101" t="s">
        <v>20</v>
      </c>
      <c r="L101" t="s">
        <v>26</v>
      </c>
    </row>
    <row r="102" spans="2:12">
      <c r="B102" t="s">
        <v>1</v>
      </c>
      <c r="C102" s="4" t="s">
        <v>25</v>
      </c>
      <c r="D102" s="1" t="s">
        <v>41</v>
      </c>
      <c r="E102">
        <v>310</v>
      </c>
      <c r="F102">
        <v>2</v>
      </c>
      <c r="G102" s="32">
        <v>2</v>
      </c>
      <c r="H102">
        <v>1</v>
      </c>
      <c r="J102" t="s">
        <v>35</v>
      </c>
      <c r="K102" t="s">
        <v>33</v>
      </c>
      <c r="L102" t="s">
        <v>28</v>
      </c>
    </row>
    <row r="103" spans="2:12">
      <c r="D103" t="s">
        <v>41</v>
      </c>
      <c r="E103">
        <v>320</v>
      </c>
      <c r="F103">
        <v>1</v>
      </c>
      <c r="H103">
        <v>0</v>
      </c>
      <c r="J103" t="s">
        <v>38</v>
      </c>
      <c r="L103" t="s">
        <v>26</v>
      </c>
    </row>
    <row r="104" spans="2:12">
      <c r="B104" t="s">
        <v>1</v>
      </c>
      <c r="C104" s="5" t="s">
        <v>25</v>
      </c>
      <c r="D104" s="1" t="s">
        <v>41</v>
      </c>
      <c r="E104">
        <v>330</v>
      </c>
      <c r="F104">
        <v>1</v>
      </c>
      <c r="G104" s="32">
        <v>1</v>
      </c>
      <c r="H104">
        <v>1</v>
      </c>
      <c r="J104" t="s">
        <v>19</v>
      </c>
      <c r="K104" t="s">
        <v>20</v>
      </c>
      <c r="L104" t="s">
        <v>26</v>
      </c>
    </row>
    <row r="105" spans="2:12">
      <c r="B105" t="s">
        <v>1</v>
      </c>
      <c r="C105" s="5" t="s">
        <v>25</v>
      </c>
      <c r="D105" s="1" t="s">
        <v>41</v>
      </c>
      <c r="E105">
        <v>330</v>
      </c>
      <c r="F105">
        <v>2</v>
      </c>
      <c r="G105" s="32">
        <v>0</v>
      </c>
      <c r="H105">
        <v>0</v>
      </c>
      <c r="J105" t="s">
        <v>35</v>
      </c>
      <c r="L105" t="s">
        <v>28</v>
      </c>
    </row>
    <row r="106" spans="2:12">
      <c r="B106" t="s">
        <v>1</v>
      </c>
      <c r="C106" s="4" t="s">
        <v>25</v>
      </c>
      <c r="D106" t="s">
        <v>44</v>
      </c>
      <c r="E106">
        <v>0</v>
      </c>
      <c r="F106">
        <v>1</v>
      </c>
      <c r="G106" s="32">
        <v>2</v>
      </c>
      <c r="H106">
        <v>1</v>
      </c>
      <c r="J106" t="s">
        <v>19</v>
      </c>
      <c r="K106" t="s">
        <v>20</v>
      </c>
      <c r="L106" t="s">
        <v>26</v>
      </c>
    </row>
    <row r="107" spans="2:12">
      <c r="B107" t="s">
        <v>1</v>
      </c>
      <c r="C107" s="4" t="s">
        <v>45</v>
      </c>
      <c r="D107" t="s">
        <v>44</v>
      </c>
      <c r="E107">
        <v>0</v>
      </c>
      <c r="F107">
        <v>2</v>
      </c>
      <c r="G107" s="32">
        <v>1</v>
      </c>
      <c r="H107">
        <v>1</v>
      </c>
      <c r="J107" t="s">
        <v>35</v>
      </c>
      <c r="K107" t="s">
        <v>36</v>
      </c>
      <c r="L107" t="s">
        <v>28</v>
      </c>
    </row>
    <row r="108" spans="2:12">
      <c r="D108" s="34" t="s">
        <v>44</v>
      </c>
      <c r="E108">
        <v>10</v>
      </c>
      <c r="F108">
        <v>1</v>
      </c>
      <c r="H108">
        <v>1</v>
      </c>
      <c r="J108" t="s">
        <v>19</v>
      </c>
      <c r="K108" t="s">
        <v>20</v>
      </c>
      <c r="L108" t="s">
        <v>26</v>
      </c>
    </row>
    <row r="109" spans="2:12">
      <c r="D109" s="34" t="s">
        <v>44</v>
      </c>
      <c r="E109">
        <v>10</v>
      </c>
      <c r="F109">
        <v>2</v>
      </c>
      <c r="H109">
        <v>1</v>
      </c>
      <c r="J109" t="s">
        <v>38</v>
      </c>
      <c r="K109" t="s">
        <v>27</v>
      </c>
      <c r="L109" t="s">
        <v>28</v>
      </c>
    </row>
    <row r="110" spans="2:12">
      <c r="B110" t="s">
        <v>1</v>
      </c>
      <c r="C110" s="4" t="s">
        <v>25</v>
      </c>
      <c r="D110" t="s">
        <v>44</v>
      </c>
      <c r="E110">
        <v>20</v>
      </c>
      <c r="F110">
        <v>1</v>
      </c>
      <c r="G110" s="32">
        <v>1</v>
      </c>
      <c r="H110">
        <v>1</v>
      </c>
      <c r="J110" t="s">
        <v>19</v>
      </c>
      <c r="K110" t="s">
        <v>20</v>
      </c>
      <c r="L110" t="s">
        <v>26</v>
      </c>
    </row>
    <row r="111" spans="2:12">
      <c r="B111" t="s">
        <v>1</v>
      </c>
      <c r="C111" s="4" t="s">
        <v>25</v>
      </c>
      <c r="D111" t="s">
        <v>44</v>
      </c>
      <c r="E111">
        <v>20</v>
      </c>
      <c r="F111">
        <v>2</v>
      </c>
      <c r="G111" s="32">
        <v>1</v>
      </c>
      <c r="H111">
        <v>1</v>
      </c>
      <c r="J111" t="s">
        <v>35</v>
      </c>
      <c r="K111" t="s">
        <v>33</v>
      </c>
      <c r="L111" t="s">
        <v>28</v>
      </c>
    </row>
    <row r="112" spans="2:12">
      <c r="B112" t="s">
        <v>1</v>
      </c>
      <c r="C112" s="4" t="s">
        <v>25</v>
      </c>
      <c r="D112" t="s">
        <v>44</v>
      </c>
      <c r="E112">
        <v>30</v>
      </c>
      <c r="F112">
        <v>1</v>
      </c>
      <c r="G112" s="32">
        <v>1</v>
      </c>
      <c r="H112">
        <v>1</v>
      </c>
      <c r="J112" t="s">
        <v>19</v>
      </c>
      <c r="K112" t="s">
        <v>20</v>
      </c>
      <c r="L112" t="s">
        <v>26</v>
      </c>
    </row>
    <row r="113" spans="2:12">
      <c r="B113" t="s">
        <v>1</v>
      </c>
      <c r="C113" s="4" t="s">
        <v>25</v>
      </c>
      <c r="D113" t="s">
        <v>44</v>
      </c>
      <c r="E113">
        <v>30</v>
      </c>
      <c r="F113">
        <v>2</v>
      </c>
      <c r="G113" s="32">
        <v>2</v>
      </c>
      <c r="H113">
        <v>1</v>
      </c>
      <c r="J113" t="s">
        <v>35</v>
      </c>
      <c r="K113" t="s">
        <v>33</v>
      </c>
      <c r="L113" t="s">
        <v>28</v>
      </c>
    </row>
    <row r="114" spans="2:12">
      <c r="D114" s="34" t="s">
        <v>44</v>
      </c>
      <c r="E114">
        <v>40</v>
      </c>
      <c r="F114">
        <v>1</v>
      </c>
      <c r="H114">
        <v>1</v>
      </c>
      <c r="J114" t="s">
        <v>19</v>
      </c>
      <c r="K114" t="s">
        <v>20</v>
      </c>
      <c r="L114" t="s">
        <v>26</v>
      </c>
    </row>
    <row r="115" spans="2:12">
      <c r="D115" s="34" t="s">
        <v>44</v>
      </c>
      <c r="E115">
        <v>40</v>
      </c>
      <c r="F115">
        <v>2</v>
      </c>
      <c r="H115">
        <v>1</v>
      </c>
      <c r="J115" t="s">
        <v>38</v>
      </c>
      <c r="K115" t="s">
        <v>27</v>
      </c>
      <c r="L115" t="s">
        <v>28</v>
      </c>
    </row>
    <row r="116" spans="2:12">
      <c r="B116" t="s">
        <v>1</v>
      </c>
      <c r="C116" s="4" t="s">
        <v>25</v>
      </c>
      <c r="D116" t="s">
        <v>44</v>
      </c>
      <c r="E116">
        <v>50</v>
      </c>
      <c r="F116">
        <v>1</v>
      </c>
      <c r="G116" s="32">
        <v>1</v>
      </c>
      <c r="H116">
        <v>1</v>
      </c>
      <c r="J116" t="s">
        <v>19</v>
      </c>
      <c r="K116" t="s">
        <v>20</v>
      </c>
      <c r="L116" t="s">
        <v>26</v>
      </c>
    </row>
    <row r="117" spans="2:12">
      <c r="B117" t="s">
        <v>1</v>
      </c>
      <c r="C117" s="4" t="s">
        <v>25</v>
      </c>
      <c r="D117" t="s">
        <v>44</v>
      </c>
      <c r="E117">
        <v>50</v>
      </c>
      <c r="F117">
        <v>2</v>
      </c>
      <c r="G117" s="32">
        <v>0</v>
      </c>
      <c r="H117">
        <v>0</v>
      </c>
      <c r="J117" t="s">
        <v>35</v>
      </c>
      <c r="L117" t="s">
        <v>28</v>
      </c>
    </row>
    <row r="118" spans="2:12">
      <c r="B118" t="s">
        <v>1</v>
      </c>
      <c r="C118" s="4" t="s">
        <v>25</v>
      </c>
      <c r="D118" t="s">
        <v>44</v>
      </c>
      <c r="E118">
        <v>60</v>
      </c>
      <c r="F118">
        <v>1</v>
      </c>
      <c r="G118" s="32">
        <v>2</v>
      </c>
      <c r="H118">
        <v>1</v>
      </c>
      <c r="J118" t="s">
        <v>19</v>
      </c>
      <c r="K118" t="s">
        <v>20</v>
      </c>
      <c r="L118" t="s">
        <v>26</v>
      </c>
    </row>
    <row r="119" spans="2:12">
      <c r="B119" t="s">
        <v>1</v>
      </c>
      <c r="C119" s="4" t="s">
        <v>25</v>
      </c>
      <c r="D119" t="s">
        <v>44</v>
      </c>
      <c r="E119">
        <v>60</v>
      </c>
      <c r="F119">
        <v>2</v>
      </c>
      <c r="G119" s="32">
        <v>3</v>
      </c>
      <c r="H119">
        <v>0</v>
      </c>
      <c r="J119" t="s">
        <v>46</v>
      </c>
    </row>
    <row r="120" spans="2:12">
      <c r="B120" t="s">
        <v>1</v>
      </c>
      <c r="C120" s="4" t="s">
        <v>25</v>
      </c>
      <c r="D120" t="s">
        <v>44</v>
      </c>
      <c r="E120">
        <v>60</v>
      </c>
      <c r="F120">
        <v>3</v>
      </c>
      <c r="G120" s="32">
        <v>0</v>
      </c>
      <c r="H120">
        <v>0</v>
      </c>
      <c r="J120" t="s">
        <v>35</v>
      </c>
      <c r="L120" t="s">
        <v>28</v>
      </c>
    </row>
    <row r="121" spans="2:12">
      <c r="D121" s="34" t="s">
        <v>44</v>
      </c>
      <c r="E121">
        <v>70</v>
      </c>
      <c r="F121">
        <v>1</v>
      </c>
      <c r="H121">
        <v>1</v>
      </c>
      <c r="J121" t="s">
        <v>19</v>
      </c>
      <c r="K121" t="s">
        <v>20</v>
      </c>
      <c r="L121" t="s">
        <v>26</v>
      </c>
    </row>
    <row r="122" spans="2:12">
      <c r="D122" s="34" t="s">
        <v>44</v>
      </c>
      <c r="E122">
        <v>70</v>
      </c>
      <c r="F122">
        <v>2</v>
      </c>
      <c r="H122">
        <v>1</v>
      </c>
      <c r="J122" t="s">
        <v>38</v>
      </c>
      <c r="K122" t="s">
        <v>34</v>
      </c>
      <c r="L122" t="s">
        <v>28</v>
      </c>
    </row>
    <row r="123" spans="2:12">
      <c r="D123" s="34" t="s">
        <v>44</v>
      </c>
      <c r="E123">
        <v>80</v>
      </c>
      <c r="F123">
        <v>1</v>
      </c>
      <c r="H123">
        <v>1</v>
      </c>
      <c r="J123" t="s">
        <v>19</v>
      </c>
      <c r="K123" t="s">
        <v>20</v>
      </c>
      <c r="L123" t="s">
        <v>26</v>
      </c>
    </row>
    <row r="124" spans="2:12">
      <c r="D124" s="34" t="s">
        <v>44</v>
      </c>
      <c r="E124">
        <v>80</v>
      </c>
      <c r="F124">
        <v>2</v>
      </c>
      <c r="H124">
        <v>1</v>
      </c>
      <c r="J124" t="s">
        <v>38</v>
      </c>
      <c r="K124" t="s">
        <v>34</v>
      </c>
      <c r="L124" t="s">
        <v>28</v>
      </c>
    </row>
    <row r="125" spans="2:12">
      <c r="D125" s="34" t="s">
        <v>44</v>
      </c>
      <c r="E125">
        <v>90</v>
      </c>
      <c r="F125">
        <v>2</v>
      </c>
      <c r="H125">
        <v>1</v>
      </c>
      <c r="J125" t="s">
        <v>38</v>
      </c>
      <c r="K125" t="s">
        <v>34</v>
      </c>
      <c r="L125" t="s">
        <v>28</v>
      </c>
    </row>
    <row r="126" spans="2:12">
      <c r="D126" s="34" t="s">
        <v>44</v>
      </c>
      <c r="E126">
        <v>90</v>
      </c>
      <c r="F126">
        <v>1</v>
      </c>
      <c r="H126">
        <v>1</v>
      </c>
      <c r="J126" t="s">
        <v>19</v>
      </c>
      <c r="K126" t="s">
        <v>20</v>
      </c>
      <c r="L126" t="s">
        <v>26</v>
      </c>
    </row>
    <row r="127" spans="2:12">
      <c r="D127" s="34" t="s">
        <v>44</v>
      </c>
      <c r="E127">
        <v>90</v>
      </c>
      <c r="F127">
        <v>2</v>
      </c>
      <c r="H127">
        <v>1</v>
      </c>
      <c r="J127" t="s">
        <v>38</v>
      </c>
      <c r="K127" t="s">
        <v>27</v>
      </c>
      <c r="L127" t="s">
        <v>28</v>
      </c>
    </row>
    <row r="128" spans="2:12">
      <c r="B128" t="s">
        <v>1</v>
      </c>
      <c r="C128" s="4" t="s">
        <v>25</v>
      </c>
      <c r="D128" t="s">
        <v>44</v>
      </c>
      <c r="E128">
        <v>100</v>
      </c>
      <c r="F128">
        <v>1</v>
      </c>
      <c r="G128" s="32">
        <v>1</v>
      </c>
      <c r="H128">
        <v>1</v>
      </c>
      <c r="J128" t="s">
        <v>35</v>
      </c>
      <c r="K128" t="s">
        <v>33</v>
      </c>
      <c r="L128" t="s">
        <v>28</v>
      </c>
    </row>
    <row r="129" spans="2:12">
      <c r="B129" t="s">
        <v>1</v>
      </c>
      <c r="C129" s="4" t="s">
        <v>25</v>
      </c>
      <c r="D129" t="s">
        <v>44</v>
      </c>
      <c r="E129">
        <v>110</v>
      </c>
      <c r="F129">
        <v>1</v>
      </c>
      <c r="G129" s="32">
        <v>3</v>
      </c>
      <c r="H129">
        <v>0</v>
      </c>
      <c r="J129" t="s">
        <v>46</v>
      </c>
    </row>
    <row r="130" spans="2:12">
      <c r="B130" t="s">
        <v>1</v>
      </c>
      <c r="C130" s="4" t="s">
        <v>25</v>
      </c>
      <c r="D130" t="s">
        <v>44</v>
      </c>
      <c r="E130">
        <v>110</v>
      </c>
      <c r="F130">
        <v>2</v>
      </c>
      <c r="G130" s="32">
        <v>2</v>
      </c>
      <c r="H130">
        <v>1</v>
      </c>
      <c r="J130" t="s">
        <v>19</v>
      </c>
      <c r="K130" t="s">
        <v>20</v>
      </c>
      <c r="L130" t="s">
        <v>26</v>
      </c>
    </row>
    <row r="131" spans="2:12">
      <c r="B131" t="s">
        <v>1</v>
      </c>
      <c r="C131" s="4" t="s">
        <v>25</v>
      </c>
      <c r="D131" t="s">
        <v>44</v>
      </c>
      <c r="E131">
        <v>110</v>
      </c>
      <c r="F131">
        <v>3</v>
      </c>
      <c r="G131" s="32">
        <v>0</v>
      </c>
      <c r="H131">
        <v>0</v>
      </c>
      <c r="J131" t="s">
        <v>35</v>
      </c>
      <c r="L131" t="s">
        <v>28</v>
      </c>
    </row>
    <row r="132" spans="2:12">
      <c r="D132" s="34" t="s">
        <v>44</v>
      </c>
      <c r="E132">
        <v>120</v>
      </c>
      <c r="F132">
        <v>1</v>
      </c>
      <c r="H132">
        <v>0</v>
      </c>
      <c r="J132" t="s">
        <v>19</v>
      </c>
      <c r="L132" t="s">
        <v>26</v>
      </c>
    </row>
    <row r="133" spans="2:12">
      <c r="D133" s="34" t="s">
        <v>44</v>
      </c>
      <c r="E133">
        <v>120</v>
      </c>
      <c r="F133">
        <v>2</v>
      </c>
      <c r="H133">
        <v>0</v>
      </c>
      <c r="J133" t="s">
        <v>38</v>
      </c>
      <c r="L133" t="s">
        <v>28</v>
      </c>
    </row>
    <row r="134" spans="2:12">
      <c r="D134" s="34" t="s">
        <v>44</v>
      </c>
      <c r="E134">
        <v>130</v>
      </c>
      <c r="F134">
        <v>0</v>
      </c>
    </row>
    <row r="135" spans="2:12">
      <c r="B135" t="s">
        <v>1</v>
      </c>
      <c r="C135" s="4" t="s">
        <v>25</v>
      </c>
      <c r="D135" t="s">
        <v>44</v>
      </c>
      <c r="E135">
        <v>140</v>
      </c>
      <c r="F135">
        <v>1</v>
      </c>
      <c r="G135" s="32">
        <v>1</v>
      </c>
      <c r="H135">
        <v>1</v>
      </c>
      <c r="J135" t="s">
        <v>47</v>
      </c>
      <c r="K135" t="s">
        <v>36</v>
      </c>
      <c r="L135" t="s">
        <v>28</v>
      </c>
    </row>
    <row r="136" spans="2:12">
      <c r="B136" t="s">
        <v>1</v>
      </c>
      <c r="C136" s="4" t="s">
        <v>25</v>
      </c>
      <c r="D136" t="s">
        <v>44</v>
      </c>
      <c r="E136">
        <v>150</v>
      </c>
      <c r="F136">
        <v>1</v>
      </c>
      <c r="G136" s="32">
        <v>1</v>
      </c>
      <c r="H136">
        <v>1</v>
      </c>
      <c r="J136" t="s">
        <v>19</v>
      </c>
      <c r="K136" t="s">
        <v>20</v>
      </c>
      <c r="L136" t="s">
        <v>26</v>
      </c>
    </row>
    <row r="137" spans="2:12">
      <c r="B137" t="s">
        <v>1</v>
      </c>
      <c r="C137" s="4" t="s">
        <v>25</v>
      </c>
      <c r="D137" t="s">
        <v>44</v>
      </c>
      <c r="E137">
        <v>150</v>
      </c>
      <c r="F137">
        <v>2</v>
      </c>
      <c r="G137" s="32">
        <v>2</v>
      </c>
      <c r="H137">
        <v>1</v>
      </c>
      <c r="J137" t="s">
        <v>47</v>
      </c>
      <c r="K137" t="s">
        <v>47</v>
      </c>
      <c r="L137" t="s">
        <v>28</v>
      </c>
    </row>
    <row r="138" spans="2:12">
      <c r="D138" s="34" t="s">
        <v>44</v>
      </c>
      <c r="E138">
        <v>160</v>
      </c>
      <c r="F138">
        <v>1</v>
      </c>
      <c r="H138">
        <v>0</v>
      </c>
      <c r="J138" t="s">
        <v>38</v>
      </c>
      <c r="L138" t="s">
        <v>28</v>
      </c>
    </row>
    <row r="139" spans="2:12">
      <c r="B139" t="s">
        <v>1</v>
      </c>
      <c r="C139" s="4" t="s">
        <v>25</v>
      </c>
      <c r="D139" t="s">
        <v>44</v>
      </c>
      <c r="E139">
        <v>170</v>
      </c>
      <c r="F139">
        <v>1</v>
      </c>
      <c r="G139" s="32">
        <v>1</v>
      </c>
      <c r="H139">
        <v>1</v>
      </c>
      <c r="J139" t="s">
        <v>35</v>
      </c>
      <c r="K139" t="s">
        <v>36</v>
      </c>
      <c r="L139" t="s">
        <v>28</v>
      </c>
    </row>
    <row r="140" spans="2:12">
      <c r="B140" t="s">
        <v>1</v>
      </c>
      <c r="C140" s="4" t="s">
        <v>25</v>
      </c>
      <c r="D140" t="s">
        <v>44</v>
      </c>
      <c r="E140">
        <v>170</v>
      </c>
      <c r="F140">
        <v>2</v>
      </c>
      <c r="G140" s="32">
        <v>2</v>
      </c>
      <c r="H140">
        <v>1</v>
      </c>
      <c r="J140" t="s">
        <v>19</v>
      </c>
      <c r="K140" t="s">
        <v>20</v>
      </c>
      <c r="L140" t="s">
        <v>26</v>
      </c>
    </row>
    <row r="141" spans="2:12">
      <c r="B141" t="s">
        <v>1</v>
      </c>
      <c r="C141" s="4" t="s">
        <v>25</v>
      </c>
      <c r="D141" t="s">
        <v>44</v>
      </c>
      <c r="E141">
        <v>180</v>
      </c>
      <c r="F141">
        <v>1</v>
      </c>
      <c r="G141" s="32">
        <v>1</v>
      </c>
      <c r="H141">
        <v>1</v>
      </c>
      <c r="J141" t="s">
        <v>35</v>
      </c>
      <c r="K141" t="s">
        <v>33</v>
      </c>
      <c r="L141" t="s">
        <v>28</v>
      </c>
    </row>
    <row r="142" spans="2:12">
      <c r="B142" t="s">
        <v>1</v>
      </c>
      <c r="C142" s="4" t="s">
        <v>25</v>
      </c>
      <c r="D142" t="s">
        <v>44</v>
      </c>
      <c r="E142">
        <v>180</v>
      </c>
      <c r="F142">
        <v>2</v>
      </c>
      <c r="G142" s="32">
        <v>2</v>
      </c>
      <c r="H142">
        <v>1</v>
      </c>
      <c r="J142" t="s">
        <v>19</v>
      </c>
      <c r="K142" t="s">
        <v>20</v>
      </c>
      <c r="L142" t="s">
        <v>26</v>
      </c>
    </row>
    <row r="143" spans="2:12">
      <c r="B143" t="s">
        <v>1</v>
      </c>
      <c r="C143" s="4" t="s">
        <v>25</v>
      </c>
      <c r="D143" t="s">
        <v>44</v>
      </c>
      <c r="E143">
        <v>190</v>
      </c>
      <c r="F143">
        <v>1</v>
      </c>
      <c r="G143" s="32">
        <v>1</v>
      </c>
      <c r="H143">
        <v>1</v>
      </c>
      <c r="J143" t="s">
        <v>35</v>
      </c>
      <c r="K143" t="s">
        <v>33</v>
      </c>
      <c r="L143" t="s">
        <v>28</v>
      </c>
    </row>
    <row r="144" spans="2:12">
      <c r="D144" s="34" t="s">
        <v>44</v>
      </c>
      <c r="E144">
        <v>200</v>
      </c>
      <c r="F144">
        <v>1</v>
      </c>
      <c r="H144">
        <v>1</v>
      </c>
      <c r="J144" t="s">
        <v>38</v>
      </c>
      <c r="K144" t="s">
        <v>34</v>
      </c>
      <c r="L144" t="s">
        <v>28</v>
      </c>
    </row>
    <row r="145" spans="2:12">
      <c r="D145" s="34" t="s">
        <v>44</v>
      </c>
      <c r="E145">
        <v>210</v>
      </c>
      <c r="F145">
        <v>1</v>
      </c>
      <c r="H145">
        <v>1</v>
      </c>
      <c r="J145" t="s">
        <v>38</v>
      </c>
      <c r="K145" t="s">
        <v>34</v>
      </c>
      <c r="L145" t="s">
        <v>28</v>
      </c>
    </row>
    <row r="146" spans="2:12">
      <c r="D146" s="34" t="s">
        <v>44</v>
      </c>
      <c r="E146">
        <v>220</v>
      </c>
      <c r="F146">
        <v>1</v>
      </c>
      <c r="H146">
        <v>0</v>
      </c>
      <c r="J146" t="s">
        <v>19</v>
      </c>
      <c r="L146" t="s">
        <v>26</v>
      </c>
    </row>
    <row r="147" spans="2:12">
      <c r="D147" s="34" t="s">
        <v>44</v>
      </c>
      <c r="E147">
        <v>220</v>
      </c>
      <c r="F147">
        <v>2</v>
      </c>
      <c r="H147">
        <v>0</v>
      </c>
      <c r="J147" t="s">
        <v>38</v>
      </c>
      <c r="L147" t="s">
        <v>24</v>
      </c>
    </row>
    <row r="148" spans="2:12">
      <c r="B148" t="s">
        <v>1</v>
      </c>
      <c r="C148" s="4" t="s">
        <v>25</v>
      </c>
      <c r="D148" t="s">
        <v>44</v>
      </c>
      <c r="E148">
        <v>230</v>
      </c>
      <c r="F148">
        <v>1</v>
      </c>
      <c r="G148" s="32">
        <v>2</v>
      </c>
      <c r="H148">
        <v>1</v>
      </c>
      <c r="J148" t="s">
        <v>19</v>
      </c>
      <c r="K148" t="s">
        <v>20</v>
      </c>
      <c r="L148" t="s">
        <v>26</v>
      </c>
    </row>
    <row r="149" spans="2:12">
      <c r="B149" t="s">
        <v>1</v>
      </c>
      <c r="C149" s="4" t="s">
        <v>25</v>
      </c>
      <c r="D149" t="s">
        <v>44</v>
      </c>
      <c r="E149">
        <v>230</v>
      </c>
      <c r="F149">
        <v>2</v>
      </c>
      <c r="G149" s="32">
        <v>1</v>
      </c>
      <c r="H149">
        <v>1</v>
      </c>
      <c r="J149" t="s">
        <v>35</v>
      </c>
      <c r="K149" t="s">
        <v>20</v>
      </c>
      <c r="L149" t="s">
        <v>28</v>
      </c>
    </row>
    <row r="150" spans="2:12">
      <c r="B150" t="s">
        <v>1</v>
      </c>
      <c r="C150" s="4" t="s">
        <v>25</v>
      </c>
      <c r="D150" t="s">
        <v>44</v>
      </c>
      <c r="E150">
        <v>230</v>
      </c>
      <c r="F150">
        <v>3</v>
      </c>
      <c r="G150" s="32">
        <v>1</v>
      </c>
      <c r="H150">
        <v>1</v>
      </c>
      <c r="J150" t="s">
        <v>42</v>
      </c>
      <c r="K150" t="s">
        <v>20</v>
      </c>
      <c r="L150" t="s">
        <v>26</v>
      </c>
    </row>
    <row r="151" spans="2:12">
      <c r="B151" t="s">
        <v>1</v>
      </c>
      <c r="C151" s="4" t="s">
        <v>25</v>
      </c>
      <c r="D151" t="s">
        <v>44</v>
      </c>
      <c r="E151">
        <v>240</v>
      </c>
      <c r="F151">
        <v>1</v>
      </c>
      <c r="G151" s="32">
        <v>1</v>
      </c>
      <c r="H151">
        <v>1</v>
      </c>
      <c r="J151" t="s">
        <v>19</v>
      </c>
      <c r="K151" t="s">
        <v>20</v>
      </c>
      <c r="L151" t="s">
        <v>26</v>
      </c>
    </row>
    <row r="152" spans="2:12">
      <c r="B152" t="s">
        <v>1</v>
      </c>
      <c r="C152" s="4" t="s">
        <v>25</v>
      </c>
      <c r="D152" t="s">
        <v>44</v>
      </c>
      <c r="E152">
        <v>240</v>
      </c>
      <c r="F152">
        <v>2</v>
      </c>
      <c r="G152" s="32">
        <v>2</v>
      </c>
      <c r="H152">
        <v>1</v>
      </c>
      <c r="J152" t="s">
        <v>42</v>
      </c>
      <c r="K152" t="s">
        <v>20</v>
      </c>
      <c r="L152" t="s">
        <v>26</v>
      </c>
    </row>
    <row r="153" spans="2:12">
      <c r="B153" t="s">
        <v>1</v>
      </c>
      <c r="C153" s="4" t="s">
        <v>25</v>
      </c>
      <c r="D153" t="s">
        <v>44</v>
      </c>
      <c r="E153">
        <v>240</v>
      </c>
      <c r="F153">
        <v>3</v>
      </c>
      <c r="G153" s="32">
        <v>2</v>
      </c>
      <c r="H153">
        <v>1</v>
      </c>
      <c r="J153" t="s">
        <v>35</v>
      </c>
      <c r="K153" t="s">
        <v>20</v>
      </c>
      <c r="L153" t="s">
        <v>28</v>
      </c>
    </row>
    <row r="154" spans="2:12">
      <c r="D154" s="34" t="s">
        <v>44</v>
      </c>
      <c r="E154">
        <v>250</v>
      </c>
      <c r="F154">
        <v>1</v>
      </c>
      <c r="H154">
        <v>0</v>
      </c>
      <c r="J154" t="s">
        <v>19</v>
      </c>
      <c r="L154" t="s">
        <v>26</v>
      </c>
    </row>
    <row r="155" spans="2:12">
      <c r="D155" s="34" t="s">
        <v>44</v>
      </c>
      <c r="E155">
        <v>250</v>
      </c>
      <c r="F155">
        <v>2</v>
      </c>
      <c r="H155">
        <v>0</v>
      </c>
      <c r="J155" t="s">
        <v>38</v>
      </c>
      <c r="L155" t="s">
        <v>28</v>
      </c>
    </row>
    <row r="156" spans="2:12">
      <c r="D156" s="34" t="s">
        <v>44</v>
      </c>
      <c r="E156">
        <v>260</v>
      </c>
      <c r="F156">
        <v>1</v>
      </c>
      <c r="H156">
        <v>1</v>
      </c>
      <c r="J156" t="s">
        <v>19</v>
      </c>
      <c r="K156" t="s">
        <v>20</v>
      </c>
      <c r="L156" t="s">
        <v>26</v>
      </c>
    </row>
    <row r="157" spans="2:12">
      <c r="D157" s="34" t="s">
        <v>44</v>
      </c>
      <c r="E157">
        <v>260</v>
      </c>
      <c r="F157">
        <v>2</v>
      </c>
      <c r="H157">
        <v>1</v>
      </c>
      <c r="J157" t="s">
        <v>38</v>
      </c>
      <c r="K157" t="s">
        <v>34</v>
      </c>
      <c r="L157" t="s">
        <v>28</v>
      </c>
    </row>
    <row r="158" spans="2:12">
      <c r="B158" t="s">
        <v>1</v>
      </c>
      <c r="C158" s="4" t="s">
        <v>25</v>
      </c>
      <c r="D158" t="s">
        <v>44</v>
      </c>
      <c r="E158">
        <v>270</v>
      </c>
      <c r="F158">
        <v>1</v>
      </c>
      <c r="G158" s="32">
        <v>1</v>
      </c>
      <c r="H158">
        <v>1</v>
      </c>
      <c r="J158" t="s">
        <v>19</v>
      </c>
      <c r="K158" t="s">
        <v>20</v>
      </c>
      <c r="L158" t="s">
        <v>26</v>
      </c>
    </row>
    <row r="159" spans="2:12">
      <c r="D159" s="34" t="s">
        <v>44</v>
      </c>
      <c r="E159">
        <v>280</v>
      </c>
      <c r="F159">
        <v>1</v>
      </c>
      <c r="H159">
        <v>1</v>
      </c>
      <c r="J159" t="s">
        <v>19</v>
      </c>
      <c r="K159" t="s">
        <v>20</v>
      </c>
      <c r="L159" t="s">
        <v>26</v>
      </c>
    </row>
    <row r="160" spans="2:12">
      <c r="D160" s="34" t="s">
        <v>44</v>
      </c>
      <c r="E160">
        <v>280</v>
      </c>
      <c r="F160">
        <v>2</v>
      </c>
      <c r="H160">
        <v>0</v>
      </c>
      <c r="J160" t="s">
        <v>22</v>
      </c>
      <c r="L160" t="s">
        <v>28</v>
      </c>
    </row>
    <row r="161" spans="2:12">
      <c r="B161" t="s">
        <v>1</v>
      </c>
      <c r="C161" s="4" t="s">
        <v>25</v>
      </c>
      <c r="D161" t="s">
        <v>44</v>
      </c>
      <c r="E161">
        <v>290</v>
      </c>
      <c r="F161">
        <v>1</v>
      </c>
      <c r="G161" s="32">
        <v>2</v>
      </c>
      <c r="H161">
        <v>1</v>
      </c>
      <c r="J161" t="s">
        <v>19</v>
      </c>
      <c r="K161" t="s">
        <v>20</v>
      </c>
      <c r="L161" t="s">
        <v>26</v>
      </c>
    </row>
    <row r="162" spans="2:12">
      <c r="B162" t="s">
        <v>1</v>
      </c>
      <c r="C162" s="4" t="s">
        <v>25</v>
      </c>
      <c r="D162" t="s">
        <v>44</v>
      </c>
      <c r="E162">
        <v>290</v>
      </c>
      <c r="F162">
        <v>2</v>
      </c>
      <c r="G162" s="32">
        <v>3</v>
      </c>
      <c r="H162">
        <v>0</v>
      </c>
      <c r="J162" t="s">
        <v>40</v>
      </c>
      <c r="L162" t="s">
        <v>28</v>
      </c>
    </row>
    <row r="163" spans="2:12">
      <c r="D163" s="34" t="s">
        <v>44</v>
      </c>
      <c r="E163">
        <v>300</v>
      </c>
      <c r="F163">
        <v>1</v>
      </c>
      <c r="H163">
        <v>1</v>
      </c>
      <c r="J163" t="s">
        <v>19</v>
      </c>
      <c r="K163" t="s">
        <v>20</v>
      </c>
      <c r="L163" t="s">
        <v>26</v>
      </c>
    </row>
    <row r="164" spans="2:12">
      <c r="D164" s="34" t="s">
        <v>44</v>
      </c>
      <c r="E164">
        <v>300</v>
      </c>
      <c r="F164">
        <v>2</v>
      </c>
      <c r="H164">
        <v>0</v>
      </c>
      <c r="J164" t="s">
        <v>22</v>
      </c>
      <c r="L164" t="s">
        <v>28</v>
      </c>
    </row>
    <row r="165" spans="2:12">
      <c r="B165" t="s">
        <v>1</v>
      </c>
      <c r="C165" s="4" t="s">
        <v>25</v>
      </c>
      <c r="D165" t="s">
        <v>44</v>
      </c>
      <c r="E165">
        <v>310</v>
      </c>
      <c r="F165">
        <v>1</v>
      </c>
      <c r="G165" s="32">
        <v>1</v>
      </c>
      <c r="H165">
        <v>1</v>
      </c>
      <c r="J165" t="s">
        <v>19</v>
      </c>
      <c r="K165" t="s">
        <v>20</v>
      </c>
      <c r="L165" t="s">
        <v>26</v>
      </c>
    </row>
    <row r="166" spans="2:12">
      <c r="B166" t="s">
        <v>1</v>
      </c>
      <c r="C166" s="4" t="s">
        <v>25</v>
      </c>
      <c r="D166" t="s">
        <v>44</v>
      </c>
      <c r="E166">
        <v>310</v>
      </c>
      <c r="F166">
        <v>2</v>
      </c>
      <c r="G166" s="32">
        <v>0</v>
      </c>
      <c r="H166">
        <v>0</v>
      </c>
      <c r="J166" t="s">
        <v>40</v>
      </c>
      <c r="L166" t="s">
        <v>28</v>
      </c>
    </row>
    <row r="167" spans="2:12">
      <c r="D167" s="34" t="s">
        <v>44</v>
      </c>
      <c r="E167">
        <v>320</v>
      </c>
      <c r="F167">
        <v>1</v>
      </c>
      <c r="H167">
        <v>0</v>
      </c>
      <c r="J167" t="s">
        <v>19</v>
      </c>
      <c r="L167" t="s">
        <v>26</v>
      </c>
    </row>
    <row r="168" spans="2:12">
      <c r="D168" s="34" t="s">
        <v>44</v>
      </c>
      <c r="E168">
        <v>320</v>
      </c>
      <c r="F168">
        <v>2</v>
      </c>
      <c r="H168">
        <v>0</v>
      </c>
      <c r="J168" t="s">
        <v>22</v>
      </c>
      <c r="L168" t="s">
        <v>28</v>
      </c>
    </row>
    <row r="169" spans="2:12">
      <c r="D169" s="34" t="s">
        <v>44</v>
      </c>
      <c r="E169">
        <v>330</v>
      </c>
      <c r="F169">
        <v>1</v>
      </c>
      <c r="H169">
        <v>1</v>
      </c>
      <c r="J169" t="s">
        <v>19</v>
      </c>
      <c r="K169" t="s">
        <v>20</v>
      </c>
      <c r="L169" t="s">
        <v>26</v>
      </c>
    </row>
    <row r="170" spans="2:12">
      <c r="B170" t="s">
        <v>1</v>
      </c>
      <c r="C170" s="5" t="s">
        <v>48</v>
      </c>
      <c r="D170" s="1" t="s">
        <v>49</v>
      </c>
      <c r="E170">
        <v>10</v>
      </c>
      <c r="F170">
        <v>1</v>
      </c>
      <c r="G170" s="32" t="s">
        <v>50</v>
      </c>
      <c r="I170" t="s">
        <v>51</v>
      </c>
    </row>
    <row r="171" spans="2:12">
      <c r="D171" t="s">
        <v>49</v>
      </c>
      <c r="E171">
        <v>20</v>
      </c>
      <c r="I171" t="s">
        <v>43</v>
      </c>
    </row>
    <row r="172" spans="2:12">
      <c r="D172" t="s">
        <v>49</v>
      </c>
      <c r="E172">
        <v>30</v>
      </c>
      <c r="I172" t="s">
        <v>43</v>
      </c>
    </row>
    <row r="173" spans="2:12">
      <c r="D173" t="s">
        <v>49</v>
      </c>
      <c r="E173">
        <v>40</v>
      </c>
      <c r="I173" t="s">
        <v>43</v>
      </c>
    </row>
    <row r="174" spans="2:12">
      <c r="D174" t="s">
        <v>49</v>
      </c>
      <c r="E174">
        <v>50</v>
      </c>
      <c r="I174" t="s">
        <v>43</v>
      </c>
    </row>
    <row r="175" spans="2:12">
      <c r="D175" t="s">
        <v>49</v>
      </c>
      <c r="E175">
        <v>60</v>
      </c>
      <c r="I175" t="s">
        <v>43</v>
      </c>
    </row>
    <row r="176" spans="2:12">
      <c r="D176" t="s">
        <v>49</v>
      </c>
      <c r="E176">
        <v>70</v>
      </c>
      <c r="I176" t="s">
        <v>43</v>
      </c>
    </row>
    <row r="177" spans="2:12">
      <c r="D177" t="s">
        <v>49</v>
      </c>
      <c r="E177">
        <v>80</v>
      </c>
      <c r="I177" t="s">
        <v>43</v>
      </c>
    </row>
    <row r="178" spans="2:12">
      <c r="D178" t="s">
        <v>49</v>
      </c>
      <c r="E178">
        <v>90</v>
      </c>
      <c r="I178" t="s">
        <v>43</v>
      </c>
    </row>
    <row r="179" spans="2:12">
      <c r="D179" t="s">
        <v>49</v>
      </c>
      <c r="E179">
        <v>100</v>
      </c>
      <c r="I179" t="s">
        <v>43</v>
      </c>
    </row>
    <row r="180" spans="2:12">
      <c r="D180" t="s">
        <v>49</v>
      </c>
      <c r="E180">
        <v>110</v>
      </c>
      <c r="I180" t="s">
        <v>43</v>
      </c>
    </row>
    <row r="181" spans="2:12">
      <c r="D181" t="s">
        <v>49</v>
      </c>
      <c r="E181">
        <v>120</v>
      </c>
      <c r="I181" t="s">
        <v>43</v>
      </c>
    </row>
    <row r="182" spans="2:12">
      <c r="D182" t="s">
        <v>49</v>
      </c>
      <c r="E182">
        <v>130</v>
      </c>
      <c r="I182" t="s">
        <v>43</v>
      </c>
    </row>
    <row r="183" spans="2:12">
      <c r="D183" t="s">
        <v>49</v>
      </c>
      <c r="E183">
        <v>140</v>
      </c>
      <c r="I183" t="s">
        <v>43</v>
      </c>
    </row>
    <row r="184" spans="2:12">
      <c r="D184" t="s">
        <v>49</v>
      </c>
      <c r="E184">
        <v>150</v>
      </c>
      <c r="I184" t="s">
        <v>43</v>
      </c>
    </row>
    <row r="185" spans="2:12">
      <c r="B185" t="s">
        <v>1</v>
      </c>
      <c r="C185" s="5" t="s">
        <v>48</v>
      </c>
      <c r="D185" s="1" t="s">
        <v>49</v>
      </c>
      <c r="E185">
        <v>160</v>
      </c>
      <c r="F185">
        <v>1</v>
      </c>
      <c r="G185" s="32" t="s">
        <v>50</v>
      </c>
      <c r="I185" t="s">
        <v>51</v>
      </c>
    </row>
    <row r="186" spans="2:12">
      <c r="B186" t="s">
        <v>1</v>
      </c>
      <c r="C186" s="5" t="s">
        <v>48</v>
      </c>
      <c r="D186" s="1" t="s">
        <v>49</v>
      </c>
      <c r="E186">
        <v>170</v>
      </c>
      <c r="F186">
        <v>1</v>
      </c>
      <c r="G186" s="32" t="s">
        <v>50</v>
      </c>
      <c r="I186" t="s">
        <v>51</v>
      </c>
    </row>
    <row r="187" spans="2:12">
      <c r="B187" t="s">
        <v>1</v>
      </c>
      <c r="C187" s="5" t="s">
        <v>48</v>
      </c>
      <c r="D187" s="1" t="s">
        <v>49</v>
      </c>
      <c r="E187">
        <v>180</v>
      </c>
      <c r="F187">
        <v>1</v>
      </c>
      <c r="G187" s="32">
        <v>2</v>
      </c>
      <c r="H187">
        <v>1</v>
      </c>
      <c r="J187" t="s">
        <v>19</v>
      </c>
      <c r="K187" t="s">
        <v>20</v>
      </c>
      <c r="L187" t="s">
        <v>26</v>
      </c>
    </row>
    <row r="188" spans="2:12">
      <c r="B188" t="s">
        <v>1</v>
      </c>
      <c r="C188" s="5" t="s">
        <v>48</v>
      </c>
      <c r="D188" s="1" t="s">
        <v>49</v>
      </c>
      <c r="E188">
        <v>180</v>
      </c>
      <c r="F188">
        <v>2</v>
      </c>
      <c r="G188" s="32">
        <v>3</v>
      </c>
      <c r="H188">
        <v>0</v>
      </c>
      <c r="J188" t="s">
        <v>42</v>
      </c>
      <c r="L188" t="s">
        <v>26</v>
      </c>
    </row>
    <row r="189" spans="2:12">
      <c r="D189" t="s">
        <v>49</v>
      </c>
      <c r="E189">
        <v>190</v>
      </c>
      <c r="I189" t="s">
        <v>43</v>
      </c>
    </row>
    <row r="190" spans="2:12">
      <c r="D190" t="s">
        <v>49</v>
      </c>
      <c r="E190">
        <v>200</v>
      </c>
      <c r="I190" t="s">
        <v>43</v>
      </c>
    </row>
    <row r="191" spans="2:12">
      <c r="B191" t="s">
        <v>1</v>
      </c>
      <c r="C191" s="5" t="s">
        <v>48</v>
      </c>
      <c r="D191" s="1" t="s">
        <v>49</v>
      </c>
      <c r="E191">
        <v>210</v>
      </c>
      <c r="F191">
        <v>1</v>
      </c>
      <c r="G191" s="32">
        <v>1</v>
      </c>
      <c r="H191">
        <v>1</v>
      </c>
      <c r="J191" t="s">
        <v>19</v>
      </c>
      <c r="K191" t="s">
        <v>20</v>
      </c>
      <c r="L191" t="s">
        <v>26</v>
      </c>
    </row>
    <row r="192" spans="2:12">
      <c r="B192" t="s">
        <v>1</v>
      </c>
      <c r="C192" s="5" t="s">
        <v>48</v>
      </c>
      <c r="D192" s="1" t="s">
        <v>49</v>
      </c>
      <c r="E192">
        <v>210</v>
      </c>
      <c r="F192">
        <v>2</v>
      </c>
      <c r="G192" s="32">
        <v>1</v>
      </c>
      <c r="H192">
        <v>1</v>
      </c>
      <c r="J192" t="s">
        <v>42</v>
      </c>
      <c r="K192" t="s">
        <v>20</v>
      </c>
      <c r="L192" t="s">
        <v>26</v>
      </c>
    </row>
    <row r="193" spans="2:12">
      <c r="B193" t="s">
        <v>1</v>
      </c>
      <c r="C193" s="5" t="s">
        <v>48</v>
      </c>
      <c r="D193" s="1" t="s">
        <v>49</v>
      </c>
      <c r="E193">
        <v>210</v>
      </c>
      <c r="F193">
        <v>3</v>
      </c>
      <c r="G193" s="32">
        <v>0</v>
      </c>
      <c r="H193">
        <v>0</v>
      </c>
      <c r="J193" t="s">
        <v>52</v>
      </c>
      <c r="L193" t="s">
        <v>28</v>
      </c>
    </row>
    <row r="194" spans="2:12">
      <c r="D194" t="s">
        <v>49</v>
      </c>
      <c r="E194">
        <v>220</v>
      </c>
      <c r="F194">
        <v>1</v>
      </c>
      <c r="H194">
        <v>1</v>
      </c>
      <c r="J194" t="s">
        <v>19</v>
      </c>
      <c r="K194" t="s">
        <v>20</v>
      </c>
      <c r="L194" t="s">
        <v>26</v>
      </c>
    </row>
    <row r="195" spans="2:12">
      <c r="D195" t="s">
        <v>49</v>
      </c>
      <c r="E195">
        <v>220</v>
      </c>
      <c r="F195">
        <v>2</v>
      </c>
      <c r="H195">
        <v>1</v>
      </c>
      <c r="J195" t="s">
        <v>53</v>
      </c>
      <c r="K195" t="s">
        <v>34</v>
      </c>
      <c r="L195" t="s">
        <v>28</v>
      </c>
    </row>
    <row r="196" spans="2:12">
      <c r="B196" t="s">
        <v>1</v>
      </c>
      <c r="C196" s="5" t="s">
        <v>48</v>
      </c>
      <c r="D196" s="1" t="s">
        <v>49</v>
      </c>
      <c r="E196">
        <v>230</v>
      </c>
      <c r="F196">
        <v>1</v>
      </c>
      <c r="G196" s="32">
        <v>1</v>
      </c>
      <c r="H196">
        <v>1</v>
      </c>
      <c r="J196" t="s">
        <v>19</v>
      </c>
      <c r="K196" t="s">
        <v>20</v>
      </c>
      <c r="L196" t="s">
        <v>26</v>
      </c>
    </row>
    <row r="197" spans="2:12">
      <c r="B197" t="s">
        <v>1</v>
      </c>
      <c r="C197" s="5" t="s">
        <v>48</v>
      </c>
      <c r="D197" s="1" t="s">
        <v>49</v>
      </c>
      <c r="E197">
        <v>230</v>
      </c>
      <c r="F197">
        <v>2</v>
      </c>
      <c r="G197" s="32">
        <v>2</v>
      </c>
      <c r="H197">
        <v>1</v>
      </c>
      <c r="J197" t="s">
        <v>52</v>
      </c>
      <c r="K197" t="s">
        <v>37</v>
      </c>
      <c r="L197" t="s">
        <v>28</v>
      </c>
    </row>
    <row r="198" spans="2:12">
      <c r="B198" t="s">
        <v>1</v>
      </c>
      <c r="C198" s="5" t="s">
        <v>48</v>
      </c>
      <c r="D198" s="1" t="s">
        <v>49</v>
      </c>
      <c r="E198">
        <v>240</v>
      </c>
      <c r="F198">
        <v>1</v>
      </c>
      <c r="G198" s="32">
        <v>1</v>
      </c>
      <c r="H198">
        <v>1</v>
      </c>
      <c r="J198" t="s">
        <v>19</v>
      </c>
      <c r="K198" t="s">
        <v>20</v>
      </c>
      <c r="L198" t="s">
        <v>26</v>
      </c>
    </row>
    <row r="199" spans="2:12">
      <c r="B199" t="s">
        <v>1</v>
      </c>
      <c r="C199" s="5" t="s">
        <v>48</v>
      </c>
      <c r="D199" s="1" t="s">
        <v>49</v>
      </c>
      <c r="E199">
        <v>240</v>
      </c>
      <c r="F199">
        <v>2</v>
      </c>
      <c r="G199" s="32">
        <v>2</v>
      </c>
      <c r="H199">
        <v>1</v>
      </c>
      <c r="J199" t="s">
        <v>52</v>
      </c>
      <c r="K199" t="s">
        <v>54</v>
      </c>
      <c r="L199" t="s">
        <v>28</v>
      </c>
    </row>
    <row r="200" spans="2:12">
      <c r="D200" t="s">
        <v>49</v>
      </c>
      <c r="E200">
        <v>250</v>
      </c>
      <c r="F200">
        <v>1</v>
      </c>
      <c r="H200">
        <v>1</v>
      </c>
      <c r="J200" t="s">
        <v>19</v>
      </c>
      <c r="K200" t="s">
        <v>20</v>
      </c>
      <c r="L200" t="s">
        <v>26</v>
      </c>
    </row>
    <row r="201" spans="2:12">
      <c r="D201" t="s">
        <v>49</v>
      </c>
      <c r="E201">
        <v>250</v>
      </c>
      <c r="F201">
        <v>2</v>
      </c>
      <c r="H201">
        <v>1</v>
      </c>
      <c r="J201" t="s">
        <v>53</v>
      </c>
      <c r="K201" t="s">
        <v>34</v>
      </c>
      <c r="L201" t="s">
        <v>28</v>
      </c>
    </row>
    <row r="202" spans="2:12">
      <c r="B202" t="s">
        <v>1</v>
      </c>
      <c r="C202" s="5" t="s">
        <v>48</v>
      </c>
      <c r="D202" s="1" t="s">
        <v>49</v>
      </c>
      <c r="E202">
        <v>260</v>
      </c>
      <c r="F202">
        <v>1</v>
      </c>
      <c r="G202" s="32">
        <v>1</v>
      </c>
      <c r="H202">
        <v>1</v>
      </c>
      <c r="J202" t="s">
        <v>52</v>
      </c>
      <c r="K202" t="s">
        <v>37</v>
      </c>
      <c r="L202" t="s">
        <v>28</v>
      </c>
    </row>
    <row r="203" spans="2:12">
      <c r="B203" t="s">
        <v>1</v>
      </c>
      <c r="C203" s="5" t="s">
        <v>48</v>
      </c>
      <c r="D203" s="1" t="s">
        <v>49</v>
      </c>
      <c r="E203">
        <v>270</v>
      </c>
      <c r="F203">
        <v>1</v>
      </c>
      <c r="G203" s="32">
        <v>1</v>
      </c>
      <c r="H203">
        <v>1</v>
      </c>
      <c r="J203" t="s">
        <v>52</v>
      </c>
      <c r="K203" t="s">
        <v>33</v>
      </c>
      <c r="L203" t="s">
        <v>28</v>
      </c>
    </row>
    <row r="204" spans="2:12">
      <c r="B204" t="s">
        <v>1</v>
      </c>
      <c r="C204" s="5" t="s">
        <v>48</v>
      </c>
      <c r="D204" s="1" t="s">
        <v>49</v>
      </c>
      <c r="E204">
        <v>280</v>
      </c>
      <c r="F204">
        <v>1</v>
      </c>
      <c r="G204" s="32">
        <v>1</v>
      </c>
      <c r="H204">
        <v>1</v>
      </c>
      <c r="J204" t="s">
        <v>52</v>
      </c>
      <c r="K204" t="s">
        <v>37</v>
      </c>
      <c r="L204" t="s">
        <v>28</v>
      </c>
    </row>
    <row r="205" spans="2:12">
      <c r="B205" t="s">
        <v>1</v>
      </c>
      <c r="C205" s="5" t="s">
        <v>48</v>
      </c>
      <c r="D205" s="1" t="s">
        <v>49</v>
      </c>
      <c r="E205">
        <v>290</v>
      </c>
      <c r="F205">
        <v>1</v>
      </c>
      <c r="G205" s="32">
        <v>1</v>
      </c>
      <c r="H205">
        <v>1</v>
      </c>
      <c r="J205" t="s">
        <v>52</v>
      </c>
      <c r="K205" t="s">
        <v>37</v>
      </c>
      <c r="L205" t="s">
        <v>28</v>
      </c>
    </row>
    <row r="206" spans="2:12">
      <c r="B206" t="s">
        <v>1</v>
      </c>
      <c r="C206" s="5" t="s">
        <v>48</v>
      </c>
      <c r="D206" s="1" t="s">
        <v>49</v>
      </c>
      <c r="E206">
        <v>300</v>
      </c>
      <c r="F206">
        <v>1</v>
      </c>
      <c r="G206" s="32">
        <v>1</v>
      </c>
      <c r="H206">
        <v>1</v>
      </c>
      <c r="J206" t="s">
        <v>52</v>
      </c>
      <c r="K206" t="s">
        <v>37</v>
      </c>
      <c r="L206" t="s">
        <v>28</v>
      </c>
    </row>
    <row r="207" spans="2:12">
      <c r="D207" t="s">
        <v>49</v>
      </c>
      <c r="E207">
        <v>310</v>
      </c>
      <c r="F207">
        <v>1</v>
      </c>
      <c r="H207">
        <v>1</v>
      </c>
      <c r="J207" t="s">
        <v>19</v>
      </c>
      <c r="K207" t="s">
        <v>20</v>
      </c>
      <c r="L207" t="s">
        <v>26</v>
      </c>
    </row>
    <row r="208" spans="2:12">
      <c r="D208" t="s">
        <v>49</v>
      </c>
      <c r="E208">
        <v>310</v>
      </c>
      <c r="F208">
        <v>2</v>
      </c>
      <c r="H208">
        <v>0</v>
      </c>
      <c r="J208" t="s">
        <v>53</v>
      </c>
      <c r="L208" t="s">
        <v>28</v>
      </c>
    </row>
    <row r="209" spans="2:12">
      <c r="B209" t="s">
        <v>1</v>
      </c>
      <c r="C209" s="5" t="s">
        <v>48</v>
      </c>
      <c r="D209" s="1" t="s">
        <v>49</v>
      </c>
      <c r="E209">
        <v>320</v>
      </c>
      <c r="F209">
        <v>1</v>
      </c>
      <c r="G209" s="32">
        <v>1</v>
      </c>
      <c r="H209">
        <v>1</v>
      </c>
      <c r="J209" t="s">
        <v>19</v>
      </c>
      <c r="K209" t="s">
        <v>20</v>
      </c>
      <c r="L209" t="s">
        <v>26</v>
      </c>
    </row>
    <row r="210" spans="2:12">
      <c r="B210" t="s">
        <v>1</v>
      </c>
      <c r="C210" s="5" t="s">
        <v>48</v>
      </c>
      <c r="D210" s="1" t="s">
        <v>49</v>
      </c>
      <c r="E210">
        <v>320</v>
      </c>
      <c r="F210">
        <v>2</v>
      </c>
      <c r="G210" s="32">
        <v>0</v>
      </c>
      <c r="H210">
        <v>0</v>
      </c>
      <c r="J210" t="s">
        <v>52</v>
      </c>
      <c r="L210" t="s">
        <v>28</v>
      </c>
    </row>
    <row r="211" spans="2:12">
      <c r="B211" t="s">
        <v>1</v>
      </c>
      <c r="C211" s="5" t="s">
        <v>48</v>
      </c>
      <c r="D211" s="1" t="s">
        <v>49</v>
      </c>
      <c r="E211">
        <v>330</v>
      </c>
      <c r="F211">
        <v>1</v>
      </c>
      <c r="G211" s="32">
        <v>1</v>
      </c>
      <c r="H211">
        <v>1</v>
      </c>
      <c r="J211" t="s">
        <v>19</v>
      </c>
      <c r="K211" t="s">
        <v>20</v>
      </c>
      <c r="L211" t="s">
        <v>26</v>
      </c>
    </row>
    <row r="212" spans="2:12">
      <c r="B212" t="s">
        <v>1</v>
      </c>
      <c r="C212" s="5" t="s">
        <v>48</v>
      </c>
      <c r="D212" s="1" t="s">
        <v>49</v>
      </c>
      <c r="E212">
        <v>330</v>
      </c>
      <c r="F212">
        <v>2</v>
      </c>
      <c r="G212" s="32">
        <v>1</v>
      </c>
      <c r="H212">
        <v>1</v>
      </c>
      <c r="J212" t="s">
        <v>52</v>
      </c>
      <c r="K212" t="s">
        <v>37</v>
      </c>
      <c r="L212" t="s">
        <v>28</v>
      </c>
    </row>
    <row r="213" spans="2:12">
      <c r="B213" t="s">
        <v>1</v>
      </c>
      <c r="C213" s="4" t="s">
        <v>48</v>
      </c>
      <c r="D213" t="s">
        <v>55</v>
      </c>
      <c r="E213">
        <v>0</v>
      </c>
      <c r="F213">
        <v>1</v>
      </c>
      <c r="G213" s="32">
        <v>1</v>
      </c>
      <c r="H213">
        <v>1</v>
      </c>
      <c r="J213" t="s">
        <v>19</v>
      </c>
      <c r="K213" t="s">
        <v>20</v>
      </c>
      <c r="L213" t="s">
        <v>26</v>
      </c>
    </row>
    <row r="214" spans="2:12">
      <c r="B214" t="s">
        <v>1</v>
      </c>
      <c r="C214" s="4" t="s">
        <v>48</v>
      </c>
      <c r="D214" t="s">
        <v>55</v>
      </c>
      <c r="E214">
        <v>0</v>
      </c>
      <c r="F214">
        <v>2</v>
      </c>
      <c r="G214" s="32">
        <v>1</v>
      </c>
      <c r="H214">
        <v>1</v>
      </c>
      <c r="J214" t="s">
        <v>52</v>
      </c>
      <c r="K214" t="s">
        <v>37</v>
      </c>
      <c r="L214" t="s">
        <v>28</v>
      </c>
    </row>
    <row r="215" spans="2:12">
      <c r="D215" s="34" t="s">
        <v>55</v>
      </c>
      <c r="E215">
        <v>10</v>
      </c>
      <c r="F215">
        <v>1</v>
      </c>
      <c r="H215">
        <v>1</v>
      </c>
      <c r="J215" t="s">
        <v>19</v>
      </c>
      <c r="K215" t="s">
        <v>20</v>
      </c>
      <c r="L215" t="s">
        <v>26</v>
      </c>
    </row>
    <row r="216" spans="2:12">
      <c r="D216" s="34" t="s">
        <v>55</v>
      </c>
      <c r="E216">
        <v>10</v>
      </c>
      <c r="F216">
        <v>2</v>
      </c>
      <c r="H216">
        <v>1</v>
      </c>
      <c r="J216" t="s">
        <v>53</v>
      </c>
      <c r="K216" t="s">
        <v>31</v>
      </c>
      <c r="L216" t="s">
        <v>28</v>
      </c>
    </row>
    <row r="217" spans="2:12">
      <c r="B217" t="s">
        <v>1</v>
      </c>
      <c r="C217" s="4" t="s">
        <v>48</v>
      </c>
      <c r="D217" t="s">
        <v>55</v>
      </c>
      <c r="E217">
        <v>20</v>
      </c>
      <c r="F217">
        <v>1</v>
      </c>
      <c r="G217" s="32">
        <v>3</v>
      </c>
      <c r="H217">
        <v>0</v>
      </c>
      <c r="J217" t="s">
        <v>46</v>
      </c>
    </row>
    <row r="218" spans="2:12">
      <c r="B218" t="s">
        <v>1</v>
      </c>
      <c r="C218" s="4" t="s">
        <v>48</v>
      </c>
      <c r="D218" t="s">
        <v>55</v>
      </c>
      <c r="E218">
        <v>20</v>
      </c>
      <c r="F218">
        <v>2</v>
      </c>
      <c r="G218" s="32">
        <v>2</v>
      </c>
      <c r="H218">
        <v>1</v>
      </c>
      <c r="J218" t="s">
        <v>19</v>
      </c>
      <c r="K218" t="s">
        <v>20</v>
      </c>
      <c r="L218" t="s">
        <v>26</v>
      </c>
    </row>
    <row r="219" spans="2:12">
      <c r="B219" t="s">
        <v>1</v>
      </c>
      <c r="C219" s="4" t="s">
        <v>48</v>
      </c>
      <c r="D219" t="s">
        <v>55</v>
      </c>
      <c r="E219">
        <v>20</v>
      </c>
      <c r="F219">
        <v>3</v>
      </c>
      <c r="G219" s="32">
        <v>2</v>
      </c>
      <c r="H219">
        <v>1</v>
      </c>
      <c r="J219" t="s">
        <v>52</v>
      </c>
      <c r="K219" t="s">
        <v>37</v>
      </c>
      <c r="L219" t="s">
        <v>28</v>
      </c>
    </row>
    <row r="220" spans="2:12">
      <c r="D220" s="34" t="s">
        <v>55</v>
      </c>
      <c r="E220">
        <v>30</v>
      </c>
      <c r="F220">
        <v>1</v>
      </c>
      <c r="H220">
        <v>1</v>
      </c>
      <c r="J220" t="s">
        <v>19</v>
      </c>
      <c r="K220" t="s">
        <v>20</v>
      </c>
      <c r="L220" t="s">
        <v>26</v>
      </c>
    </row>
    <row r="221" spans="2:12">
      <c r="D221" s="34" t="s">
        <v>55</v>
      </c>
      <c r="E221">
        <v>30</v>
      </c>
      <c r="F221">
        <v>2</v>
      </c>
      <c r="H221">
        <v>0</v>
      </c>
      <c r="J221" t="s">
        <v>53</v>
      </c>
      <c r="L221" t="s">
        <v>28</v>
      </c>
    </row>
    <row r="222" spans="2:12">
      <c r="D222" s="34" t="s">
        <v>55</v>
      </c>
      <c r="E222">
        <v>40</v>
      </c>
      <c r="F222">
        <v>1</v>
      </c>
      <c r="H222">
        <v>1</v>
      </c>
      <c r="J222" t="s">
        <v>19</v>
      </c>
      <c r="K222" t="s">
        <v>20</v>
      </c>
      <c r="L222" t="s">
        <v>26</v>
      </c>
    </row>
    <row r="223" spans="2:12">
      <c r="D223" s="34" t="s">
        <v>55</v>
      </c>
      <c r="E223">
        <v>40</v>
      </c>
      <c r="F223">
        <v>2</v>
      </c>
      <c r="H223">
        <v>0</v>
      </c>
      <c r="J223" t="s">
        <v>53</v>
      </c>
      <c r="L223" t="s">
        <v>28</v>
      </c>
    </row>
    <row r="224" spans="2:12">
      <c r="B224" t="s">
        <v>1</v>
      </c>
      <c r="C224" s="4" t="s">
        <v>48</v>
      </c>
      <c r="D224" t="s">
        <v>55</v>
      </c>
      <c r="E224">
        <v>50</v>
      </c>
      <c r="F224">
        <v>1</v>
      </c>
      <c r="G224" s="32">
        <v>1</v>
      </c>
      <c r="H224">
        <v>1</v>
      </c>
      <c r="J224" t="s">
        <v>19</v>
      </c>
      <c r="K224" t="s">
        <v>20</v>
      </c>
      <c r="L224" t="s">
        <v>26</v>
      </c>
    </row>
    <row r="225" spans="2:12">
      <c r="B225" t="s">
        <v>1</v>
      </c>
      <c r="C225" s="4" t="s">
        <v>48</v>
      </c>
      <c r="D225" t="s">
        <v>55</v>
      </c>
      <c r="E225">
        <v>50</v>
      </c>
      <c r="F225">
        <v>2</v>
      </c>
      <c r="G225" s="32">
        <v>2</v>
      </c>
      <c r="H225">
        <v>1</v>
      </c>
      <c r="J225" t="s">
        <v>42</v>
      </c>
      <c r="K225" t="s">
        <v>20</v>
      </c>
      <c r="L225" t="s">
        <v>26</v>
      </c>
    </row>
    <row r="226" spans="2:12">
      <c r="B226" t="s">
        <v>1</v>
      </c>
      <c r="C226" s="4" t="s">
        <v>48</v>
      </c>
      <c r="D226" t="s">
        <v>55</v>
      </c>
      <c r="E226">
        <v>50</v>
      </c>
      <c r="F226">
        <v>3</v>
      </c>
      <c r="G226" s="32">
        <v>0</v>
      </c>
      <c r="H226">
        <v>0</v>
      </c>
      <c r="J226" t="s">
        <v>52</v>
      </c>
      <c r="L226" t="s">
        <v>28</v>
      </c>
    </row>
    <row r="227" spans="2:12">
      <c r="B227" t="s">
        <v>1</v>
      </c>
      <c r="C227" s="4" t="s">
        <v>48</v>
      </c>
      <c r="D227" t="s">
        <v>55</v>
      </c>
      <c r="E227">
        <v>60</v>
      </c>
      <c r="F227">
        <v>1</v>
      </c>
      <c r="G227" s="32">
        <v>1</v>
      </c>
      <c r="H227">
        <v>1</v>
      </c>
      <c r="J227" t="s">
        <v>19</v>
      </c>
      <c r="K227" t="s">
        <v>20</v>
      </c>
      <c r="L227" t="s">
        <v>26</v>
      </c>
    </row>
    <row r="228" spans="2:12">
      <c r="B228" t="s">
        <v>1</v>
      </c>
      <c r="C228" s="4" t="s">
        <v>48</v>
      </c>
      <c r="D228" t="s">
        <v>55</v>
      </c>
      <c r="E228">
        <v>70</v>
      </c>
      <c r="F228">
        <v>1</v>
      </c>
      <c r="G228" s="32">
        <v>2</v>
      </c>
      <c r="H228">
        <v>1</v>
      </c>
      <c r="J228" t="s">
        <v>19</v>
      </c>
      <c r="K228" t="s">
        <v>20</v>
      </c>
      <c r="L228" t="s">
        <v>26</v>
      </c>
    </row>
    <row r="229" spans="2:12">
      <c r="B229" t="s">
        <v>1</v>
      </c>
      <c r="C229" s="4" t="s">
        <v>48</v>
      </c>
      <c r="D229" t="s">
        <v>55</v>
      </c>
      <c r="E229">
        <v>70</v>
      </c>
      <c r="F229">
        <v>2</v>
      </c>
      <c r="G229" s="32">
        <v>3</v>
      </c>
      <c r="H229">
        <v>0</v>
      </c>
      <c r="J229" t="s">
        <v>52</v>
      </c>
      <c r="L229" t="s">
        <v>28</v>
      </c>
    </row>
    <row r="230" spans="2:12">
      <c r="B230" t="s">
        <v>1</v>
      </c>
      <c r="C230" s="4" t="s">
        <v>48</v>
      </c>
      <c r="D230" t="s">
        <v>55</v>
      </c>
      <c r="E230">
        <v>80</v>
      </c>
      <c r="F230">
        <v>1</v>
      </c>
      <c r="G230" s="32">
        <v>1</v>
      </c>
      <c r="H230">
        <v>1</v>
      </c>
      <c r="J230" t="s">
        <v>19</v>
      </c>
      <c r="K230" t="s">
        <v>20</v>
      </c>
      <c r="L230" t="s">
        <v>26</v>
      </c>
    </row>
    <row r="231" spans="2:12">
      <c r="B231" t="s">
        <v>1</v>
      </c>
      <c r="C231" s="4" t="s">
        <v>48</v>
      </c>
      <c r="D231" t="s">
        <v>55</v>
      </c>
      <c r="E231">
        <v>80</v>
      </c>
      <c r="F231">
        <v>2</v>
      </c>
      <c r="G231" s="32">
        <v>3</v>
      </c>
      <c r="H231">
        <v>0</v>
      </c>
      <c r="J231" t="s">
        <v>52</v>
      </c>
      <c r="L231" t="s">
        <v>28</v>
      </c>
    </row>
    <row r="232" spans="2:12">
      <c r="B232" t="s">
        <v>1</v>
      </c>
      <c r="C232" s="4" t="s">
        <v>48</v>
      </c>
      <c r="D232" t="s">
        <v>55</v>
      </c>
      <c r="E232">
        <v>90</v>
      </c>
      <c r="F232">
        <v>1</v>
      </c>
      <c r="G232" s="32">
        <v>1</v>
      </c>
      <c r="H232">
        <v>1</v>
      </c>
      <c r="J232" t="s">
        <v>19</v>
      </c>
      <c r="K232" t="s">
        <v>20</v>
      </c>
      <c r="L232" t="s">
        <v>26</v>
      </c>
    </row>
    <row r="233" spans="2:12">
      <c r="B233" t="s">
        <v>1</v>
      </c>
      <c r="C233" s="4" t="s">
        <v>48</v>
      </c>
      <c r="D233" t="s">
        <v>55</v>
      </c>
      <c r="E233">
        <v>90</v>
      </c>
      <c r="F233">
        <v>2</v>
      </c>
      <c r="G233" s="32">
        <v>1</v>
      </c>
      <c r="H233">
        <v>1</v>
      </c>
      <c r="J233" t="s">
        <v>52</v>
      </c>
      <c r="K233" t="s">
        <v>37</v>
      </c>
      <c r="L233" t="s">
        <v>28</v>
      </c>
    </row>
    <row r="234" spans="2:12">
      <c r="D234" s="34" t="s">
        <v>55</v>
      </c>
      <c r="E234">
        <v>100</v>
      </c>
      <c r="I234" t="s">
        <v>56</v>
      </c>
    </row>
    <row r="235" spans="2:12">
      <c r="D235" s="34" t="s">
        <v>55</v>
      </c>
      <c r="E235">
        <v>110</v>
      </c>
      <c r="F235">
        <v>1</v>
      </c>
      <c r="H235">
        <v>1</v>
      </c>
      <c r="J235" t="s">
        <v>53</v>
      </c>
      <c r="K235" t="s">
        <v>31</v>
      </c>
      <c r="L235" t="s">
        <v>28</v>
      </c>
    </row>
    <row r="236" spans="2:12">
      <c r="D236" s="34" t="s">
        <v>55</v>
      </c>
      <c r="E236">
        <v>120</v>
      </c>
      <c r="F236">
        <v>1</v>
      </c>
      <c r="H236">
        <v>0</v>
      </c>
      <c r="J236" t="s">
        <v>53</v>
      </c>
      <c r="L236" t="s">
        <v>28</v>
      </c>
    </row>
    <row r="237" spans="2:12">
      <c r="D237" s="34" t="s">
        <v>55</v>
      </c>
      <c r="E237">
        <v>130</v>
      </c>
      <c r="F237">
        <v>1</v>
      </c>
      <c r="H237">
        <v>1</v>
      </c>
      <c r="J237" t="s">
        <v>53</v>
      </c>
      <c r="K237" t="s">
        <v>34</v>
      </c>
      <c r="L237" t="s">
        <v>28</v>
      </c>
    </row>
    <row r="238" spans="2:12">
      <c r="D238" s="34" t="s">
        <v>55</v>
      </c>
      <c r="E238">
        <v>140</v>
      </c>
      <c r="F238">
        <v>1</v>
      </c>
      <c r="H238">
        <v>1</v>
      </c>
      <c r="J238" t="s">
        <v>53</v>
      </c>
      <c r="K238" t="s">
        <v>31</v>
      </c>
      <c r="L238" t="s">
        <v>28</v>
      </c>
    </row>
    <row r="239" spans="2:12">
      <c r="D239" s="34" t="s">
        <v>55</v>
      </c>
      <c r="E239">
        <v>150</v>
      </c>
      <c r="F239">
        <v>1</v>
      </c>
      <c r="H239">
        <v>1</v>
      </c>
      <c r="J239" t="s">
        <v>53</v>
      </c>
      <c r="K239" t="s">
        <v>31</v>
      </c>
      <c r="L239" t="s">
        <v>28</v>
      </c>
    </row>
    <row r="240" spans="2:12">
      <c r="B240" t="s">
        <v>1</v>
      </c>
      <c r="C240" s="4" t="s">
        <v>48</v>
      </c>
      <c r="D240" t="s">
        <v>55</v>
      </c>
      <c r="E240">
        <v>160</v>
      </c>
      <c r="F240">
        <v>1</v>
      </c>
      <c r="G240" s="32">
        <v>1</v>
      </c>
      <c r="H240">
        <v>1</v>
      </c>
      <c r="J240" t="s">
        <v>52</v>
      </c>
      <c r="K240" t="s">
        <v>37</v>
      </c>
      <c r="L240" t="s">
        <v>28</v>
      </c>
    </row>
    <row r="241" spans="2:12">
      <c r="D241" s="34" t="s">
        <v>55</v>
      </c>
      <c r="E241">
        <v>170</v>
      </c>
      <c r="F241">
        <v>1</v>
      </c>
      <c r="H241">
        <v>1</v>
      </c>
      <c r="J241" t="s">
        <v>19</v>
      </c>
      <c r="K241" t="s">
        <v>20</v>
      </c>
      <c r="L241" t="s">
        <v>26</v>
      </c>
    </row>
    <row r="242" spans="2:12">
      <c r="D242" s="34" t="s">
        <v>55</v>
      </c>
      <c r="E242">
        <v>170</v>
      </c>
      <c r="F242">
        <v>2</v>
      </c>
      <c r="H242">
        <v>1</v>
      </c>
      <c r="J242" t="s">
        <v>53</v>
      </c>
      <c r="K242" t="s">
        <v>31</v>
      </c>
      <c r="L242" t="s">
        <v>28</v>
      </c>
    </row>
    <row r="243" spans="2:12">
      <c r="D243" s="34" t="s">
        <v>55</v>
      </c>
      <c r="E243">
        <v>180</v>
      </c>
      <c r="F243">
        <v>1</v>
      </c>
      <c r="H243">
        <v>1</v>
      </c>
      <c r="J243" t="s">
        <v>53</v>
      </c>
      <c r="K243" t="s">
        <v>31</v>
      </c>
      <c r="L243" t="s">
        <v>28</v>
      </c>
    </row>
    <row r="244" spans="2:12">
      <c r="B244" t="s">
        <v>1</v>
      </c>
      <c r="C244" s="4" t="s">
        <v>48</v>
      </c>
      <c r="D244" t="s">
        <v>55</v>
      </c>
      <c r="E244">
        <v>190</v>
      </c>
      <c r="F244">
        <v>1</v>
      </c>
      <c r="G244" s="32">
        <v>1</v>
      </c>
      <c r="H244">
        <v>1</v>
      </c>
      <c r="J244" t="s">
        <v>52</v>
      </c>
      <c r="K244" t="s">
        <v>37</v>
      </c>
      <c r="L244" t="s">
        <v>28</v>
      </c>
    </row>
    <row r="245" spans="2:12">
      <c r="D245" s="34" t="s">
        <v>55</v>
      </c>
      <c r="E245">
        <v>200</v>
      </c>
      <c r="F245">
        <v>1</v>
      </c>
      <c r="H245">
        <v>1</v>
      </c>
      <c r="J245" t="s">
        <v>19</v>
      </c>
      <c r="K245" t="s">
        <v>34</v>
      </c>
      <c r="L245" t="s">
        <v>26</v>
      </c>
    </row>
    <row r="246" spans="2:12">
      <c r="B246" t="s">
        <v>1</v>
      </c>
      <c r="C246" s="4" t="s">
        <v>48</v>
      </c>
      <c r="D246" t="s">
        <v>55</v>
      </c>
      <c r="E246">
        <v>210</v>
      </c>
      <c r="F246">
        <v>1</v>
      </c>
      <c r="G246" s="32">
        <v>1</v>
      </c>
      <c r="H246">
        <v>1</v>
      </c>
      <c r="J246" t="s">
        <v>19</v>
      </c>
      <c r="K246" t="s">
        <v>20</v>
      </c>
      <c r="L246" t="s">
        <v>26</v>
      </c>
    </row>
    <row r="247" spans="2:12">
      <c r="B247" t="s">
        <v>1</v>
      </c>
      <c r="C247" s="4" t="s">
        <v>48</v>
      </c>
      <c r="D247" t="s">
        <v>55</v>
      </c>
      <c r="E247">
        <v>210</v>
      </c>
      <c r="F247">
        <v>2</v>
      </c>
      <c r="G247" s="32">
        <v>0</v>
      </c>
      <c r="H247">
        <v>0</v>
      </c>
      <c r="J247" t="s">
        <v>52</v>
      </c>
      <c r="L247" t="s">
        <v>28</v>
      </c>
    </row>
    <row r="248" spans="2:12">
      <c r="D248" s="34" t="s">
        <v>55</v>
      </c>
      <c r="E248">
        <v>220</v>
      </c>
      <c r="F248">
        <v>1</v>
      </c>
      <c r="H248">
        <v>1</v>
      </c>
      <c r="J248" t="s">
        <v>19</v>
      </c>
      <c r="K248" t="s">
        <v>20</v>
      </c>
      <c r="L248" t="s">
        <v>26</v>
      </c>
    </row>
    <row r="249" spans="2:12">
      <c r="D249" s="34" t="s">
        <v>55</v>
      </c>
      <c r="E249">
        <v>220</v>
      </c>
      <c r="F249">
        <v>2</v>
      </c>
      <c r="H249">
        <v>1</v>
      </c>
      <c r="J249" t="s">
        <v>53</v>
      </c>
      <c r="K249" t="s">
        <v>34</v>
      </c>
      <c r="L249" t="s">
        <v>28</v>
      </c>
    </row>
    <row r="250" spans="2:12">
      <c r="D250" s="34" t="s">
        <v>55</v>
      </c>
      <c r="E250">
        <v>230</v>
      </c>
      <c r="F250">
        <v>1</v>
      </c>
      <c r="H250">
        <v>1</v>
      </c>
      <c r="J250" t="s">
        <v>19</v>
      </c>
      <c r="K250" t="s">
        <v>20</v>
      </c>
      <c r="L250" t="s">
        <v>26</v>
      </c>
    </row>
    <row r="251" spans="2:12">
      <c r="D251" s="34" t="s">
        <v>55</v>
      </c>
      <c r="E251">
        <v>230</v>
      </c>
      <c r="F251">
        <v>2</v>
      </c>
      <c r="H251">
        <v>1</v>
      </c>
      <c r="J251" t="s">
        <v>53</v>
      </c>
      <c r="K251" t="s">
        <v>34</v>
      </c>
      <c r="L251" t="s">
        <v>28</v>
      </c>
    </row>
    <row r="252" spans="2:12">
      <c r="B252" t="s">
        <v>1</v>
      </c>
      <c r="C252" s="4" t="s">
        <v>48</v>
      </c>
      <c r="D252" t="s">
        <v>55</v>
      </c>
      <c r="E252">
        <v>240</v>
      </c>
      <c r="F252">
        <v>1</v>
      </c>
      <c r="G252" s="32">
        <v>1</v>
      </c>
      <c r="H252">
        <v>1</v>
      </c>
      <c r="J252" t="s">
        <v>19</v>
      </c>
      <c r="K252" t="s">
        <v>20</v>
      </c>
      <c r="L252" t="s">
        <v>26</v>
      </c>
    </row>
    <row r="253" spans="2:12">
      <c r="B253" t="s">
        <v>1</v>
      </c>
      <c r="C253" s="4" t="s">
        <v>48</v>
      </c>
      <c r="D253" t="s">
        <v>55</v>
      </c>
      <c r="E253">
        <v>240</v>
      </c>
      <c r="F253">
        <v>2</v>
      </c>
      <c r="G253" s="32">
        <v>0</v>
      </c>
      <c r="H253">
        <v>0</v>
      </c>
      <c r="J253" t="s">
        <v>52</v>
      </c>
      <c r="L253" t="s">
        <v>28</v>
      </c>
    </row>
    <row r="254" spans="2:12">
      <c r="D254" s="34" t="s">
        <v>55</v>
      </c>
      <c r="E254">
        <v>250</v>
      </c>
      <c r="F254">
        <v>1</v>
      </c>
      <c r="H254">
        <v>1</v>
      </c>
    </row>
    <row r="255" spans="2:12">
      <c r="D255" s="34" t="s">
        <v>55</v>
      </c>
      <c r="E255">
        <v>250</v>
      </c>
      <c r="F255">
        <v>2</v>
      </c>
      <c r="H255">
        <v>1</v>
      </c>
    </row>
    <row r="256" spans="2:12">
      <c r="D256" s="34" t="s">
        <v>55</v>
      </c>
      <c r="E256">
        <v>260</v>
      </c>
      <c r="F256">
        <v>1</v>
      </c>
      <c r="H256">
        <v>1</v>
      </c>
      <c r="J256" t="s">
        <v>57</v>
      </c>
      <c r="K256" t="s">
        <v>34</v>
      </c>
      <c r="L256" t="s">
        <v>58</v>
      </c>
    </row>
    <row r="257" spans="2:12">
      <c r="D257" s="34" t="s">
        <v>55</v>
      </c>
      <c r="E257">
        <v>260</v>
      </c>
      <c r="F257">
        <v>2</v>
      </c>
      <c r="H257">
        <v>0</v>
      </c>
      <c r="J257" t="s">
        <v>53</v>
      </c>
      <c r="L257" t="s">
        <v>28</v>
      </c>
    </row>
    <row r="258" spans="2:12">
      <c r="B258" t="s">
        <v>1</v>
      </c>
      <c r="C258" s="4" t="s">
        <v>48</v>
      </c>
      <c r="D258" t="s">
        <v>55</v>
      </c>
      <c r="E258">
        <v>270</v>
      </c>
      <c r="F258">
        <v>1</v>
      </c>
      <c r="G258" s="32">
        <v>1</v>
      </c>
      <c r="H258">
        <v>1</v>
      </c>
      <c r="J258" t="s">
        <v>19</v>
      </c>
      <c r="K258" t="s">
        <v>20</v>
      </c>
      <c r="L258" t="s">
        <v>26</v>
      </c>
    </row>
    <row r="259" spans="2:12">
      <c r="B259" t="s">
        <v>1</v>
      </c>
      <c r="C259" s="4" t="s">
        <v>48</v>
      </c>
      <c r="D259" t="s">
        <v>55</v>
      </c>
      <c r="E259">
        <v>270</v>
      </c>
      <c r="F259">
        <v>2</v>
      </c>
      <c r="G259" s="32">
        <v>0</v>
      </c>
      <c r="H259">
        <v>0</v>
      </c>
      <c r="J259" t="s">
        <v>52</v>
      </c>
      <c r="L259" t="s">
        <v>28</v>
      </c>
    </row>
    <row r="260" spans="2:12">
      <c r="B260" t="s">
        <v>1</v>
      </c>
      <c r="C260" s="4" t="s">
        <v>48</v>
      </c>
      <c r="D260" t="s">
        <v>55</v>
      </c>
      <c r="E260">
        <v>280</v>
      </c>
      <c r="F260">
        <v>1</v>
      </c>
      <c r="G260" s="32">
        <v>1</v>
      </c>
      <c r="H260">
        <v>1</v>
      </c>
      <c r="J260" t="s">
        <v>19</v>
      </c>
      <c r="K260" t="s">
        <v>20</v>
      </c>
      <c r="L260" t="s">
        <v>26</v>
      </c>
    </row>
    <row r="261" spans="2:12">
      <c r="B261" t="s">
        <v>1</v>
      </c>
      <c r="C261" s="4" t="s">
        <v>48</v>
      </c>
      <c r="D261" t="s">
        <v>55</v>
      </c>
      <c r="E261">
        <v>280</v>
      </c>
      <c r="F261">
        <v>2</v>
      </c>
      <c r="G261" s="32">
        <v>1</v>
      </c>
      <c r="H261">
        <v>1</v>
      </c>
      <c r="J261" t="s">
        <v>52</v>
      </c>
      <c r="K261" t="s">
        <v>33</v>
      </c>
      <c r="L261" t="s">
        <v>28</v>
      </c>
    </row>
    <row r="262" spans="2:12">
      <c r="B262" t="s">
        <v>1</v>
      </c>
      <c r="C262" s="4" t="s">
        <v>48</v>
      </c>
      <c r="D262" t="s">
        <v>55</v>
      </c>
      <c r="E262">
        <v>290</v>
      </c>
      <c r="F262">
        <v>1</v>
      </c>
      <c r="G262" s="32">
        <v>1</v>
      </c>
      <c r="H262">
        <v>1</v>
      </c>
      <c r="J262" t="s">
        <v>19</v>
      </c>
      <c r="K262" t="s">
        <v>20</v>
      </c>
      <c r="L262" t="s">
        <v>26</v>
      </c>
    </row>
    <row r="263" spans="2:12">
      <c r="B263" t="s">
        <v>1</v>
      </c>
      <c r="C263" s="4" t="s">
        <v>48</v>
      </c>
      <c r="D263" t="s">
        <v>55</v>
      </c>
      <c r="E263">
        <v>290</v>
      </c>
      <c r="F263">
        <v>2</v>
      </c>
      <c r="G263" s="32">
        <v>1</v>
      </c>
      <c r="H263">
        <v>1</v>
      </c>
      <c r="J263" t="s">
        <v>19</v>
      </c>
      <c r="K263" t="s">
        <v>20</v>
      </c>
      <c r="L263" t="s">
        <v>26</v>
      </c>
    </row>
    <row r="264" spans="2:12">
      <c r="B264" t="s">
        <v>1</v>
      </c>
      <c r="C264" s="4" t="s">
        <v>48</v>
      </c>
      <c r="D264" t="s">
        <v>55</v>
      </c>
      <c r="E264">
        <v>300</v>
      </c>
      <c r="F264">
        <v>1</v>
      </c>
      <c r="G264" s="32">
        <v>1</v>
      </c>
      <c r="H264">
        <v>1</v>
      </c>
      <c r="J264" t="s">
        <v>19</v>
      </c>
      <c r="K264" t="s">
        <v>20</v>
      </c>
      <c r="L264" t="s">
        <v>26</v>
      </c>
    </row>
    <row r="265" spans="2:12">
      <c r="D265" s="34" t="s">
        <v>55</v>
      </c>
      <c r="E265">
        <v>310</v>
      </c>
      <c r="F265">
        <v>1</v>
      </c>
      <c r="H265">
        <v>1</v>
      </c>
      <c r="J265" t="s">
        <v>19</v>
      </c>
      <c r="K265" t="s">
        <v>20</v>
      </c>
      <c r="L265" t="s">
        <v>26</v>
      </c>
    </row>
    <row r="266" spans="2:12">
      <c r="B266" t="s">
        <v>1</v>
      </c>
      <c r="C266" s="4" t="s">
        <v>48</v>
      </c>
      <c r="D266" t="s">
        <v>55</v>
      </c>
      <c r="E266">
        <v>320</v>
      </c>
      <c r="F266">
        <v>1</v>
      </c>
      <c r="G266" s="32">
        <v>1</v>
      </c>
      <c r="H266">
        <v>1</v>
      </c>
      <c r="J266" t="s">
        <v>19</v>
      </c>
      <c r="K266" t="s">
        <v>20</v>
      </c>
      <c r="L266" t="s">
        <v>26</v>
      </c>
    </row>
    <row r="267" spans="2:12">
      <c r="B267" t="s">
        <v>1</v>
      </c>
      <c r="C267" s="4" t="s">
        <v>48</v>
      </c>
      <c r="D267" t="s">
        <v>55</v>
      </c>
      <c r="E267">
        <v>320</v>
      </c>
      <c r="F267">
        <v>2</v>
      </c>
      <c r="G267" s="32">
        <v>3</v>
      </c>
      <c r="H267">
        <v>0</v>
      </c>
      <c r="J267" t="s">
        <v>35</v>
      </c>
      <c r="L267" t="s">
        <v>28</v>
      </c>
    </row>
    <row r="268" spans="2:12">
      <c r="B268" t="s">
        <v>1</v>
      </c>
      <c r="C268" s="4" t="s">
        <v>48</v>
      </c>
      <c r="D268" t="s">
        <v>55</v>
      </c>
      <c r="E268">
        <v>330</v>
      </c>
      <c r="F268">
        <v>1</v>
      </c>
      <c r="G268" s="32">
        <v>1</v>
      </c>
      <c r="H268">
        <v>1</v>
      </c>
      <c r="J268" t="s">
        <v>19</v>
      </c>
      <c r="K268" t="s">
        <v>20</v>
      </c>
      <c r="L268" t="s">
        <v>26</v>
      </c>
    </row>
    <row r="269" spans="2:12">
      <c r="B269" t="s">
        <v>1</v>
      </c>
      <c r="C269" s="4" t="s">
        <v>48</v>
      </c>
      <c r="D269" t="s">
        <v>55</v>
      </c>
      <c r="E269">
        <v>330</v>
      </c>
      <c r="F269">
        <v>2</v>
      </c>
      <c r="G269" s="32">
        <v>2</v>
      </c>
      <c r="H269">
        <v>1</v>
      </c>
      <c r="J269" t="s">
        <v>35</v>
      </c>
      <c r="K269" t="s">
        <v>36</v>
      </c>
      <c r="L269" t="s">
        <v>28</v>
      </c>
    </row>
    <row r="270" spans="2:12">
      <c r="B270" t="s">
        <v>1</v>
      </c>
      <c r="C270" s="5" t="s">
        <v>59</v>
      </c>
      <c r="D270" s="1" t="s">
        <v>60</v>
      </c>
      <c r="E270">
        <v>0</v>
      </c>
      <c r="F270">
        <v>1</v>
      </c>
      <c r="G270" s="32">
        <v>2</v>
      </c>
      <c r="H270">
        <v>1</v>
      </c>
      <c r="J270" t="s">
        <v>19</v>
      </c>
      <c r="K270" t="s">
        <v>20</v>
      </c>
      <c r="L270" t="s">
        <v>26</v>
      </c>
    </row>
    <row r="271" spans="2:12">
      <c r="B271" t="s">
        <v>1</v>
      </c>
      <c r="C271" s="5" t="s">
        <v>59</v>
      </c>
      <c r="D271" s="1" t="s">
        <v>60</v>
      </c>
      <c r="E271">
        <v>0</v>
      </c>
      <c r="F271">
        <v>2</v>
      </c>
      <c r="G271" s="32">
        <v>2</v>
      </c>
      <c r="H271">
        <v>1</v>
      </c>
      <c r="J271" t="s">
        <v>42</v>
      </c>
      <c r="K271" t="s">
        <v>20</v>
      </c>
      <c r="L271" t="s">
        <v>26</v>
      </c>
    </row>
    <row r="272" spans="2:12">
      <c r="B272" t="s">
        <v>1</v>
      </c>
      <c r="C272" s="5" t="s">
        <v>59</v>
      </c>
      <c r="D272" s="1" t="s">
        <v>60</v>
      </c>
      <c r="E272">
        <v>0</v>
      </c>
      <c r="F272">
        <v>3</v>
      </c>
      <c r="G272" s="32">
        <v>1</v>
      </c>
      <c r="H272">
        <v>1</v>
      </c>
      <c r="J272" t="s">
        <v>47</v>
      </c>
      <c r="K272" t="s">
        <v>33</v>
      </c>
      <c r="L272" t="s">
        <v>28</v>
      </c>
    </row>
    <row r="273" spans="2:12">
      <c r="B273" t="s">
        <v>1</v>
      </c>
      <c r="C273" s="5" t="s">
        <v>59</v>
      </c>
      <c r="D273" s="1" t="s">
        <v>60</v>
      </c>
      <c r="E273">
        <v>10</v>
      </c>
      <c r="F273">
        <v>1</v>
      </c>
      <c r="G273" s="32">
        <v>1</v>
      </c>
      <c r="H273">
        <v>1</v>
      </c>
      <c r="J273" t="s">
        <v>19</v>
      </c>
      <c r="K273" t="s">
        <v>20</v>
      </c>
      <c r="L273" t="s">
        <v>26</v>
      </c>
    </row>
    <row r="274" spans="2:12">
      <c r="B274" t="s">
        <v>1</v>
      </c>
      <c r="C274" s="5" t="s">
        <v>59</v>
      </c>
      <c r="D274" s="1" t="s">
        <v>60</v>
      </c>
      <c r="E274">
        <v>10</v>
      </c>
      <c r="F274">
        <v>2</v>
      </c>
      <c r="G274" s="32">
        <v>2</v>
      </c>
      <c r="H274">
        <v>1</v>
      </c>
      <c r="J274" t="s">
        <v>42</v>
      </c>
      <c r="K274" t="s">
        <v>20</v>
      </c>
      <c r="L274" t="s">
        <v>26</v>
      </c>
    </row>
    <row r="275" spans="2:12">
      <c r="B275" t="s">
        <v>1</v>
      </c>
      <c r="C275" s="5" t="s">
        <v>59</v>
      </c>
      <c r="D275" s="1" t="s">
        <v>60</v>
      </c>
      <c r="E275">
        <v>10</v>
      </c>
      <c r="F275">
        <v>3</v>
      </c>
      <c r="G275" s="32">
        <v>0</v>
      </c>
      <c r="H275">
        <v>0</v>
      </c>
      <c r="J275" t="s">
        <v>47</v>
      </c>
      <c r="L275" t="s">
        <v>28</v>
      </c>
    </row>
    <row r="276" spans="2:12">
      <c r="D276" t="s">
        <v>60</v>
      </c>
      <c r="E276">
        <v>20</v>
      </c>
      <c r="I276" t="s">
        <v>56</v>
      </c>
    </row>
    <row r="277" spans="2:12">
      <c r="D277" t="s">
        <v>60</v>
      </c>
      <c r="E277">
        <v>30</v>
      </c>
      <c r="F277">
        <v>1</v>
      </c>
      <c r="H277">
        <v>0</v>
      </c>
      <c r="J277" t="s">
        <v>53</v>
      </c>
      <c r="L277" t="s">
        <v>28</v>
      </c>
    </row>
    <row r="278" spans="2:12">
      <c r="D278" t="s">
        <v>60</v>
      </c>
      <c r="E278">
        <v>30</v>
      </c>
      <c r="F278">
        <v>1</v>
      </c>
      <c r="H278">
        <v>0</v>
      </c>
      <c r="J278" t="s">
        <v>19</v>
      </c>
      <c r="L278" t="s">
        <v>26</v>
      </c>
    </row>
    <row r="279" spans="2:12">
      <c r="D279" t="s">
        <v>60</v>
      </c>
      <c r="E279">
        <v>40</v>
      </c>
      <c r="F279">
        <v>1</v>
      </c>
      <c r="H279">
        <v>1</v>
      </c>
      <c r="J279" t="s">
        <v>19</v>
      </c>
      <c r="K279" t="s">
        <v>20</v>
      </c>
      <c r="L279" t="s">
        <v>26</v>
      </c>
    </row>
    <row r="280" spans="2:12">
      <c r="D280" t="s">
        <v>60</v>
      </c>
      <c r="E280">
        <v>40</v>
      </c>
      <c r="F280">
        <v>2</v>
      </c>
      <c r="H280">
        <v>1</v>
      </c>
      <c r="J280" t="s">
        <v>53</v>
      </c>
      <c r="K280" t="s">
        <v>34</v>
      </c>
      <c r="L280" t="s">
        <v>28</v>
      </c>
    </row>
    <row r="281" spans="2:12">
      <c r="D281" t="s">
        <v>60</v>
      </c>
      <c r="E281">
        <v>50</v>
      </c>
      <c r="F281">
        <v>1</v>
      </c>
      <c r="H281">
        <v>1</v>
      </c>
      <c r="J281" t="s">
        <v>19</v>
      </c>
      <c r="K281" t="s">
        <v>20</v>
      </c>
      <c r="L281" t="s">
        <v>26</v>
      </c>
    </row>
    <row r="282" spans="2:12">
      <c r="D282" t="s">
        <v>60</v>
      </c>
      <c r="E282">
        <v>50</v>
      </c>
      <c r="F282">
        <v>2</v>
      </c>
      <c r="H282">
        <v>1</v>
      </c>
      <c r="J282" t="s">
        <v>53</v>
      </c>
      <c r="K282" t="s">
        <v>31</v>
      </c>
      <c r="L282" t="s">
        <v>28</v>
      </c>
    </row>
    <row r="283" spans="2:12">
      <c r="B283" t="s">
        <v>1</v>
      </c>
      <c r="C283" s="5" t="s">
        <v>59</v>
      </c>
      <c r="D283" s="1" t="s">
        <v>60</v>
      </c>
      <c r="E283">
        <v>60</v>
      </c>
      <c r="F283">
        <v>1</v>
      </c>
      <c r="G283" s="32">
        <v>2</v>
      </c>
      <c r="H283">
        <v>1</v>
      </c>
      <c r="J283" t="s">
        <v>19</v>
      </c>
      <c r="K283" t="s">
        <v>20</v>
      </c>
      <c r="L283" t="s">
        <v>26</v>
      </c>
    </row>
    <row r="284" spans="2:12">
      <c r="B284" t="s">
        <v>1</v>
      </c>
      <c r="C284" s="5" t="s">
        <v>59</v>
      </c>
      <c r="D284" s="1" t="s">
        <v>60</v>
      </c>
      <c r="E284">
        <v>60</v>
      </c>
      <c r="F284">
        <v>2</v>
      </c>
      <c r="G284" s="32">
        <v>1</v>
      </c>
      <c r="H284">
        <v>1</v>
      </c>
      <c r="J284" t="s">
        <v>52</v>
      </c>
      <c r="K284" t="s">
        <v>37</v>
      </c>
      <c r="L284" t="s">
        <v>28</v>
      </c>
    </row>
    <row r="285" spans="2:12">
      <c r="D285" t="s">
        <v>60</v>
      </c>
      <c r="E285">
        <v>70</v>
      </c>
      <c r="F285">
        <v>1</v>
      </c>
      <c r="H285">
        <v>1</v>
      </c>
      <c r="J285" t="s">
        <v>19</v>
      </c>
      <c r="K285" t="s">
        <v>20</v>
      </c>
      <c r="L285" t="s">
        <v>26</v>
      </c>
    </row>
    <row r="286" spans="2:12">
      <c r="D286" t="s">
        <v>60</v>
      </c>
      <c r="E286">
        <v>70</v>
      </c>
      <c r="F286">
        <v>2</v>
      </c>
      <c r="H286">
        <v>1</v>
      </c>
      <c r="J286" t="s">
        <v>53</v>
      </c>
      <c r="K286" t="s">
        <v>31</v>
      </c>
      <c r="L286" t="s">
        <v>28</v>
      </c>
    </row>
    <row r="287" spans="2:12">
      <c r="D287" t="s">
        <v>60</v>
      </c>
      <c r="E287">
        <v>80</v>
      </c>
      <c r="I287" t="s">
        <v>56</v>
      </c>
    </row>
    <row r="288" spans="2:12">
      <c r="D288" t="s">
        <v>60</v>
      </c>
      <c r="E288">
        <v>90</v>
      </c>
      <c r="F288">
        <v>1</v>
      </c>
      <c r="H288">
        <v>0</v>
      </c>
      <c r="J288" t="s">
        <v>53</v>
      </c>
      <c r="L288" t="s">
        <v>28</v>
      </c>
    </row>
    <row r="289" spans="2:12">
      <c r="D289" t="s">
        <v>60</v>
      </c>
      <c r="E289">
        <v>100</v>
      </c>
      <c r="F289">
        <v>1</v>
      </c>
      <c r="H289">
        <v>1</v>
      </c>
      <c r="J289" t="s">
        <v>53</v>
      </c>
      <c r="L289" t="s">
        <v>28</v>
      </c>
    </row>
    <row r="290" spans="2:12">
      <c r="B290" t="s">
        <v>1</v>
      </c>
      <c r="C290" s="5" t="s">
        <v>59</v>
      </c>
      <c r="D290" s="1" t="s">
        <v>60</v>
      </c>
      <c r="E290">
        <v>110</v>
      </c>
      <c r="F290">
        <v>1</v>
      </c>
      <c r="G290" s="32">
        <v>1</v>
      </c>
      <c r="H290">
        <v>1</v>
      </c>
      <c r="J290" t="s">
        <v>52</v>
      </c>
      <c r="K290" t="s">
        <v>33</v>
      </c>
      <c r="L290" t="s">
        <v>28</v>
      </c>
    </row>
    <row r="291" spans="2:12">
      <c r="B291" t="s">
        <v>1</v>
      </c>
      <c r="C291" s="5" t="s">
        <v>59</v>
      </c>
      <c r="D291" s="1" t="s">
        <v>60</v>
      </c>
      <c r="E291">
        <v>120</v>
      </c>
      <c r="F291">
        <v>1</v>
      </c>
      <c r="G291" s="32">
        <v>2</v>
      </c>
      <c r="H291">
        <v>1</v>
      </c>
      <c r="J291" t="s">
        <v>19</v>
      </c>
      <c r="K291" t="s">
        <v>20</v>
      </c>
      <c r="L291" t="s">
        <v>26</v>
      </c>
    </row>
    <row r="292" spans="2:12">
      <c r="B292" t="s">
        <v>1</v>
      </c>
      <c r="C292" s="5" t="s">
        <v>59</v>
      </c>
      <c r="D292" s="1" t="s">
        <v>60</v>
      </c>
      <c r="E292">
        <v>120</v>
      </c>
      <c r="F292">
        <v>2</v>
      </c>
      <c r="G292" s="32">
        <v>1</v>
      </c>
      <c r="H292">
        <v>1</v>
      </c>
      <c r="J292" t="s">
        <v>52</v>
      </c>
      <c r="K292" t="s">
        <v>33</v>
      </c>
      <c r="L292" t="s">
        <v>28</v>
      </c>
    </row>
    <row r="293" spans="2:12">
      <c r="B293" t="s">
        <v>1</v>
      </c>
      <c r="C293" s="5" t="s">
        <v>59</v>
      </c>
      <c r="D293" s="1" t="s">
        <v>60</v>
      </c>
      <c r="E293">
        <v>130</v>
      </c>
      <c r="F293">
        <v>1</v>
      </c>
      <c r="G293" s="32">
        <v>1</v>
      </c>
      <c r="H293">
        <v>1</v>
      </c>
      <c r="J293" t="s">
        <v>52</v>
      </c>
      <c r="K293" t="s">
        <v>37</v>
      </c>
      <c r="L293" t="s">
        <v>28</v>
      </c>
    </row>
    <row r="294" spans="2:12">
      <c r="D294" t="s">
        <v>60</v>
      </c>
      <c r="E294">
        <v>140</v>
      </c>
      <c r="F294">
        <v>1</v>
      </c>
      <c r="H294">
        <v>1</v>
      </c>
      <c r="J294" t="s">
        <v>19</v>
      </c>
      <c r="K294" t="s">
        <v>20</v>
      </c>
      <c r="L294" t="s">
        <v>26</v>
      </c>
    </row>
    <row r="295" spans="2:12">
      <c r="D295" t="s">
        <v>60</v>
      </c>
      <c r="E295">
        <v>140</v>
      </c>
      <c r="F295">
        <v>2</v>
      </c>
      <c r="H295">
        <v>1</v>
      </c>
      <c r="J295" t="s">
        <v>53</v>
      </c>
      <c r="K295" t="s">
        <v>31</v>
      </c>
      <c r="L295" t="s">
        <v>28</v>
      </c>
    </row>
    <row r="296" spans="2:12">
      <c r="B296" t="s">
        <v>1</v>
      </c>
      <c r="C296" s="5" t="s">
        <v>59</v>
      </c>
      <c r="D296" s="1" t="s">
        <v>60</v>
      </c>
      <c r="E296">
        <v>150</v>
      </c>
      <c r="F296">
        <v>1</v>
      </c>
      <c r="G296" s="32">
        <v>1</v>
      </c>
      <c r="H296">
        <v>1</v>
      </c>
      <c r="J296" t="s">
        <v>19</v>
      </c>
      <c r="K296" t="s">
        <v>20</v>
      </c>
      <c r="L296" t="s">
        <v>26</v>
      </c>
    </row>
    <row r="297" spans="2:12">
      <c r="B297" t="s">
        <v>1</v>
      </c>
      <c r="C297" s="5" t="s">
        <v>59</v>
      </c>
      <c r="D297" s="1" t="s">
        <v>60</v>
      </c>
      <c r="E297">
        <v>150</v>
      </c>
      <c r="F297">
        <v>2</v>
      </c>
      <c r="G297" s="32">
        <v>2</v>
      </c>
      <c r="H297">
        <v>1</v>
      </c>
      <c r="J297" t="s">
        <v>52</v>
      </c>
      <c r="K297" t="s">
        <v>37</v>
      </c>
      <c r="L297" t="s">
        <v>28</v>
      </c>
    </row>
    <row r="298" spans="2:12">
      <c r="B298" t="s">
        <v>1</v>
      </c>
      <c r="C298" s="5" t="s">
        <v>59</v>
      </c>
      <c r="D298" s="1" t="s">
        <v>60</v>
      </c>
      <c r="E298">
        <v>160</v>
      </c>
      <c r="F298">
        <v>1</v>
      </c>
      <c r="G298" s="32">
        <v>1</v>
      </c>
      <c r="H298">
        <v>1</v>
      </c>
      <c r="J298" t="s">
        <v>19</v>
      </c>
      <c r="K298" t="s">
        <v>20</v>
      </c>
      <c r="L298" t="s">
        <v>26</v>
      </c>
    </row>
    <row r="299" spans="2:12">
      <c r="B299" t="s">
        <v>1</v>
      </c>
      <c r="C299" s="5" t="s">
        <v>59</v>
      </c>
      <c r="D299" s="1" t="s">
        <v>60</v>
      </c>
      <c r="E299">
        <v>160</v>
      </c>
      <c r="F299">
        <v>2</v>
      </c>
      <c r="G299" s="32">
        <v>0</v>
      </c>
      <c r="H299">
        <v>0</v>
      </c>
      <c r="J299" t="s">
        <v>52</v>
      </c>
      <c r="L299" t="s">
        <v>28</v>
      </c>
    </row>
    <row r="300" spans="2:12">
      <c r="D300" t="s">
        <v>60</v>
      </c>
      <c r="E300">
        <v>170</v>
      </c>
      <c r="F300">
        <v>1</v>
      </c>
      <c r="H300">
        <v>1</v>
      </c>
      <c r="J300" t="s">
        <v>53</v>
      </c>
      <c r="K300" t="s">
        <v>31</v>
      </c>
      <c r="L300" t="s">
        <v>28</v>
      </c>
    </row>
    <row r="301" spans="2:12">
      <c r="D301" t="s">
        <v>60</v>
      </c>
      <c r="E301">
        <v>180</v>
      </c>
      <c r="F301">
        <v>1</v>
      </c>
      <c r="H301">
        <v>1</v>
      </c>
      <c r="J301" t="s">
        <v>19</v>
      </c>
      <c r="K301" t="s">
        <v>20</v>
      </c>
      <c r="L301" t="s">
        <v>26</v>
      </c>
    </row>
    <row r="302" spans="2:12">
      <c r="D302" t="s">
        <v>60</v>
      </c>
      <c r="E302">
        <v>180</v>
      </c>
      <c r="F302">
        <v>2</v>
      </c>
      <c r="H302">
        <v>1</v>
      </c>
      <c r="J302" t="s">
        <v>53</v>
      </c>
      <c r="K302" t="s">
        <v>31</v>
      </c>
      <c r="L302" t="s">
        <v>28</v>
      </c>
    </row>
    <row r="303" spans="2:12">
      <c r="D303" t="s">
        <v>60</v>
      </c>
      <c r="E303">
        <v>190</v>
      </c>
      <c r="F303">
        <v>1</v>
      </c>
      <c r="H303">
        <v>1</v>
      </c>
      <c r="J303" t="s">
        <v>19</v>
      </c>
      <c r="K303" t="s">
        <v>20</v>
      </c>
      <c r="L303" t="s">
        <v>26</v>
      </c>
    </row>
    <row r="304" spans="2:12">
      <c r="D304" t="s">
        <v>60</v>
      </c>
      <c r="E304">
        <v>190</v>
      </c>
      <c r="F304">
        <v>2</v>
      </c>
      <c r="H304">
        <v>1</v>
      </c>
      <c r="J304" t="s">
        <v>53</v>
      </c>
      <c r="K304" t="s">
        <v>31</v>
      </c>
      <c r="L304" t="s">
        <v>28</v>
      </c>
    </row>
    <row r="305" spans="2:12">
      <c r="D305" t="s">
        <v>60</v>
      </c>
      <c r="E305">
        <v>200</v>
      </c>
      <c r="F305">
        <v>1</v>
      </c>
      <c r="H305">
        <v>1</v>
      </c>
      <c r="J305" t="s">
        <v>53</v>
      </c>
      <c r="K305" t="s">
        <v>31</v>
      </c>
      <c r="L305" t="s">
        <v>28</v>
      </c>
    </row>
    <row r="306" spans="2:12">
      <c r="B306" t="s">
        <v>1</v>
      </c>
      <c r="C306" s="5" t="s">
        <v>59</v>
      </c>
      <c r="D306" s="1" t="s">
        <v>60</v>
      </c>
      <c r="E306">
        <v>210</v>
      </c>
      <c r="F306">
        <v>1</v>
      </c>
      <c r="G306" s="32">
        <v>1</v>
      </c>
      <c r="H306">
        <v>1</v>
      </c>
      <c r="J306" t="s">
        <v>52</v>
      </c>
      <c r="K306" t="s">
        <v>37</v>
      </c>
      <c r="L306" t="s">
        <v>28</v>
      </c>
    </row>
    <row r="307" spans="2:12">
      <c r="D307" t="s">
        <v>60</v>
      </c>
      <c r="E307">
        <v>220</v>
      </c>
      <c r="F307">
        <v>1</v>
      </c>
      <c r="H307">
        <v>1</v>
      </c>
      <c r="J307" t="s">
        <v>53</v>
      </c>
      <c r="K307" t="s">
        <v>31</v>
      </c>
      <c r="L307" t="s">
        <v>28</v>
      </c>
    </row>
    <row r="308" spans="2:12">
      <c r="D308" t="s">
        <v>60</v>
      </c>
      <c r="E308">
        <v>230</v>
      </c>
      <c r="F308">
        <v>1</v>
      </c>
      <c r="H308">
        <v>1</v>
      </c>
      <c r="J308" t="s">
        <v>19</v>
      </c>
      <c r="K308" t="s">
        <v>20</v>
      </c>
      <c r="L308" t="s">
        <v>26</v>
      </c>
    </row>
    <row r="309" spans="2:12">
      <c r="D309" t="s">
        <v>60</v>
      </c>
      <c r="E309">
        <v>230</v>
      </c>
      <c r="F309">
        <v>2</v>
      </c>
      <c r="H309">
        <v>1</v>
      </c>
      <c r="J309" t="s">
        <v>53</v>
      </c>
      <c r="K309" t="s">
        <v>31</v>
      </c>
      <c r="L309" t="s">
        <v>28</v>
      </c>
    </row>
    <row r="310" spans="2:12">
      <c r="B310" t="s">
        <v>1</v>
      </c>
      <c r="C310" s="5" t="s">
        <v>59</v>
      </c>
      <c r="D310" s="1" t="s">
        <v>60</v>
      </c>
      <c r="E310">
        <v>240</v>
      </c>
      <c r="F310">
        <v>1</v>
      </c>
      <c r="G310" s="32">
        <v>1</v>
      </c>
      <c r="H310">
        <v>1</v>
      </c>
      <c r="J310" t="s">
        <v>52</v>
      </c>
      <c r="K310" t="s">
        <v>37</v>
      </c>
      <c r="L310" t="s">
        <v>28</v>
      </c>
    </row>
    <row r="311" spans="2:12">
      <c r="B311" t="s">
        <v>1</v>
      </c>
      <c r="C311" s="5" t="s">
        <v>59</v>
      </c>
      <c r="D311" s="1" t="s">
        <v>60</v>
      </c>
      <c r="E311">
        <v>240</v>
      </c>
      <c r="F311">
        <v>2</v>
      </c>
      <c r="G311" s="32">
        <v>2</v>
      </c>
      <c r="H311">
        <v>1</v>
      </c>
      <c r="J311" t="s">
        <v>19</v>
      </c>
      <c r="K311" t="s">
        <v>20</v>
      </c>
      <c r="L311" t="s">
        <v>26</v>
      </c>
    </row>
    <row r="312" spans="2:12">
      <c r="B312" t="s">
        <v>1</v>
      </c>
      <c r="C312" s="5" t="s">
        <v>59</v>
      </c>
      <c r="D312" s="1" t="s">
        <v>60</v>
      </c>
      <c r="E312">
        <v>250</v>
      </c>
      <c r="F312">
        <v>1</v>
      </c>
      <c r="G312" s="32">
        <v>1</v>
      </c>
      <c r="H312">
        <v>1</v>
      </c>
      <c r="J312" t="s">
        <v>52</v>
      </c>
      <c r="K312" t="s">
        <v>37</v>
      </c>
      <c r="L312" t="s">
        <v>28</v>
      </c>
    </row>
    <row r="313" spans="2:12">
      <c r="B313" t="s">
        <v>1</v>
      </c>
      <c r="C313" s="5" t="s">
        <v>59</v>
      </c>
      <c r="D313" s="1" t="s">
        <v>60</v>
      </c>
      <c r="E313">
        <v>250</v>
      </c>
      <c r="F313">
        <v>2</v>
      </c>
      <c r="G313" s="32">
        <v>2</v>
      </c>
      <c r="H313">
        <v>1</v>
      </c>
      <c r="J313" t="s">
        <v>19</v>
      </c>
      <c r="K313" t="s">
        <v>20</v>
      </c>
      <c r="L313" t="s">
        <v>26</v>
      </c>
    </row>
    <row r="314" spans="2:12">
      <c r="D314" t="s">
        <v>60</v>
      </c>
      <c r="E314">
        <v>260</v>
      </c>
      <c r="F314">
        <v>1</v>
      </c>
      <c r="H314">
        <v>1</v>
      </c>
      <c r="J314" t="s">
        <v>19</v>
      </c>
      <c r="K314" t="s">
        <v>20</v>
      </c>
      <c r="L314" t="s">
        <v>58</v>
      </c>
    </row>
    <row r="315" spans="2:12">
      <c r="D315" t="s">
        <v>60</v>
      </c>
      <c r="E315">
        <v>260</v>
      </c>
      <c r="F315">
        <v>2</v>
      </c>
      <c r="H315">
        <v>1</v>
      </c>
      <c r="J315" t="s">
        <v>53</v>
      </c>
      <c r="K315" t="s">
        <v>31</v>
      </c>
      <c r="L315" t="s">
        <v>28</v>
      </c>
    </row>
    <row r="316" spans="2:12">
      <c r="B316" t="s">
        <v>1</v>
      </c>
      <c r="C316" s="5" t="s">
        <v>59</v>
      </c>
      <c r="D316" s="1" t="s">
        <v>60</v>
      </c>
      <c r="E316">
        <v>270</v>
      </c>
      <c r="F316">
        <v>1</v>
      </c>
      <c r="G316" s="32">
        <v>1</v>
      </c>
      <c r="H316">
        <v>1</v>
      </c>
      <c r="J316" t="s">
        <v>19</v>
      </c>
      <c r="K316" t="s">
        <v>20</v>
      </c>
      <c r="L316" t="s">
        <v>26</v>
      </c>
    </row>
    <row r="317" spans="2:12">
      <c r="B317" t="s">
        <v>1</v>
      </c>
      <c r="C317" s="5" t="s">
        <v>59</v>
      </c>
      <c r="D317" s="1" t="s">
        <v>60</v>
      </c>
      <c r="E317">
        <v>270</v>
      </c>
      <c r="F317">
        <v>2</v>
      </c>
      <c r="G317" s="32">
        <v>2</v>
      </c>
      <c r="H317">
        <v>1</v>
      </c>
      <c r="J317" t="s">
        <v>52</v>
      </c>
      <c r="K317" t="s">
        <v>37</v>
      </c>
      <c r="L317" t="s">
        <v>28</v>
      </c>
    </row>
    <row r="318" spans="2:12">
      <c r="B318" t="s">
        <v>1</v>
      </c>
      <c r="C318" s="5" t="s">
        <v>59</v>
      </c>
      <c r="D318" s="1" t="s">
        <v>60</v>
      </c>
      <c r="E318">
        <v>280</v>
      </c>
      <c r="F318">
        <v>1</v>
      </c>
      <c r="G318" s="32">
        <v>1</v>
      </c>
      <c r="H318">
        <v>1</v>
      </c>
      <c r="J318" t="s">
        <v>19</v>
      </c>
      <c r="K318" t="s">
        <v>20</v>
      </c>
      <c r="L318" t="s">
        <v>26</v>
      </c>
    </row>
    <row r="319" spans="2:12">
      <c r="B319" t="s">
        <v>1</v>
      </c>
      <c r="C319" s="5" t="s">
        <v>59</v>
      </c>
      <c r="D319" s="1" t="s">
        <v>60</v>
      </c>
      <c r="E319">
        <v>280</v>
      </c>
      <c r="F319">
        <v>2</v>
      </c>
      <c r="G319" s="32">
        <v>2</v>
      </c>
      <c r="H319">
        <v>1</v>
      </c>
      <c r="J319" t="s">
        <v>52</v>
      </c>
      <c r="K319" t="s">
        <v>37</v>
      </c>
      <c r="L319" t="s">
        <v>28</v>
      </c>
    </row>
    <row r="320" spans="2:12">
      <c r="D320" t="s">
        <v>60</v>
      </c>
      <c r="E320">
        <v>290</v>
      </c>
      <c r="F320">
        <v>1</v>
      </c>
      <c r="H320">
        <v>1</v>
      </c>
      <c r="J320" t="s">
        <v>19</v>
      </c>
      <c r="K320" t="s">
        <v>20</v>
      </c>
      <c r="L320" t="s">
        <v>26</v>
      </c>
    </row>
    <row r="321" spans="2:12">
      <c r="D321" t="s">
        <v>60</v>
      </c>
      <c r="E321">
        <v>290</v>
      </c>
      <c r="F321">
        <v>2</v>
      </c>
      <c r="H321">
        <v>1</v>
      </c>
      <c r="J321" t="s">
        <v>53</v>
      </c>
      <c r="K321" t="s">
        <v>31</v>
      </c>
      <c r="L321" t="s">
        <v>28</v>
      </c>
    </row>
    <row r="322" spans="2:12">
      <c r="B322" t="s">
        <v>1</v>
      </c>
      <c r="C322" s="5" t="s">
        <v>59</v>
      </c>
      <c r="D322" s="1" t="s">
        <v>60</v>
      </c>
      <c r="E322">
        <v>300</v>
      </c>
      <c r="F322">
        <v>1</v>
      </c>
      <c r="G322" s="32">
        <v>3</v>
      </c>
      <c r="H322">
        <v>0</v>
      </c>
      <c r="J322" t="s">
        <v>52</v>
      </c>
      <c r="L322" t="s">
        <v>28</v>
      </c>
    </row>
    <row r="323" spans="2:12">
      <c r="D323" t="s">
        <v>60</v>
      </c>
      <c r="E323">
        <v>310</v>
      </c>
      <c r="F323">
        <v>1</v>
      </c>
      <c r="H323">
        <v>1</v>
      </c>
      <c r="J323" t="s">
        <v>19</v>
      </c>
      <c r="K323" t="s">
        <v>20</v>
      </c>
      <c r="L323" t="s">
        <v>26</v>
      </c>
    </row>
    <row r="324" spans="2:12">
      <c r="D324" t="s">
        <v>60</v>
      </c>
      <c r="E324">
        <v>310</v>
      </c>
      <c r="F324">
        <v>2</v>
      </c>
      <c r="H324">
        <v>1</v>
      </c>
      <c r="J324" t="s">
        <v>53</v>
      </c>
      <c r="K324" t="s">
        <v>31</v>
      </c>
      <c r="L324" t="s">
        <v>28</v>
      </c>
    </row>
    <row r="325" spans="2:12">
      <c r="B325" t="s">
        <v>1</v>
      </c>
      <c r="C325" s="5" t="s">
        <v>59</v>
      </c>
      <c r="D325" s="1" t="s">
        <v>60</v>
      </c>
      <c r="E325">
        <v>320</v>
      </c>
      <c r="F325">
        <v>1</v>
      </c>
      <c r="G325" s="32">
        <v>1</v>
      </c>
      <c r="H325">
        <v>1</v>
      </c>
      <c r="J325" t="s">
        <v>19</v>
      </c>
      <c r="K325" t="s">
        <v>20</v>
      </c>
      <c r="L325" t="s">
        <v>26</v>
      </c>
    </row>
    <row r="326" spans="2:12">
      <c r="B326" t="s">
        <v>1</v>
      </c>
      <c r="C326" s="5" t="s">
        <v>59</v>
      </c>
      <c r="D326" s="1" t="s">
        <v>60</v>
      </c>
      <c r="E326">
        <v>320</v>
      </c>
      <c r="F326">
        <v>2</v>
      </c>
      <c r="G326" s="32">
        <v>2</v>
      </c>
      <c r="H326">
        <v>1</v>
      </c>
      <c r="J326" t="s">
        <v>42</v>
      </c>
      <c r="K326" t="s">
        <v>33</v>
      </c>
      <c r="L326" t="s">
        <v>26</v>
      </c>
    </row>
    <row r="327" spans="2:12">
      <c r="B327" t="s">
        <v>1</v>
      </c>
      <c r="C327" s="5" t="s">
        <v>59</v>
      </c>
      <c r="D327" s="1" t="s">
        <v>60</v>
      </c>
      <c r="E327">
        <v>320</v>
      </c>
      <c r="F327">
        <v>3</v>
      </c>
      <c r="G327" s="32">
        <v>0</v>
      </c>
      <c r="H327">
        <v>0</v>
      </c>
      <c r="J327" t="s">
        <v>52</v>
      </c>
      <c r="L327" t="s">
        <v>28</v>
      </c>
    </row>
    <row r="328" spans="2:12">
      <c r="B328" t="s">
        <v>1</v>
      </c>
      <c r="C328" s="5" t="s">
        <v>59</v>
      </c>
      <c r="D328" s="1" t="s">
        <v>60</v>
      </c>
      <c r="E328">
        <v>330</v>
      </c>
      <c r="F328">
        <v>1</v>
      </c>
      <c r="G328" s="32">
        <v>1</v>
      </c>
      <c r="H328">
        <v>1</v>
      </c>
      <c r="J328" t="s">
        <v>52</v>
      </c>
      <c r="K328" t="s">
        <v>37</v>
      </c>
      <c r="L328" t="s">
        <v>28</v>
      </c>
    </row>
    <row r="329" spans="2:12">
      <c r="D329" s="34" t="s">
        <v>61</v>
      </c>
      <c r="E329">
        <v>0</v>
      </c>
      <c r="F329">
        <v>1</v>
      </c>
      <c r="H329">
        <v>1</v>
      </c>
      <c r="J329" t="s">
        <v>53</v>
      </c>
      <c r="K329" t="s">
        <v>31</v>
      </c>
      <c r="L329" t="s">
        <v>28</v>
      </c>
    </row>
    <row r="330" spans="2:12">
      <c r="B330" t="s">
        <v>1</v>
      </c>
      <c r="C330" s="4" t="s">
        <v>59</v>
      </c>
      <c r="D330" t="s">
        <v>61</v>
      </c>
      <c r="E330">
        <v>10</v>
      </c>
      <c r="F330">
        <v>1</v>
      </c>
      <c r="G330" s="32">
        <v>1</v>
      </c>
      <c r="H330">
        <v>1</v>
      </c>
      <c r="J330" t="s">
        <v>52</v>
      </c>
      <c r="K330" t="s">
        <v>37</v>
      </c>
      <c r="L330" t="s">
        <v>28</v>
      </c>
    </row>
    <row r="331" spans="2:12">
      <c r="D331" s="34" t="s">
        <v>61</v>
      </c>
      <c r="E331">
        <v>20</v>
      </c>
      <c r="F331">
        <v>1</v>
      </c>
      <c r="H331">
        <v>1</v>
      </c>
      <c r="J331" t="s">
        <v>19</v>
      </c>
      <c r="K331" t="s">
        <v>20</v>
      </c>
      <c r="L331" t="s">
        <v>26</v>
      </c>
    </row>
    <row r="332" spans="2:12">
      <c r="D332" s="34" t="s">
        <v>61</v>
      </c>
      <c r="E332">
        <v>20</v>
      </c>
      <c r="F332">
        <v>2</v>
      </c>
      <c r="H332">
        <v>1</v>
      </c>
      <c r="J332" t="s">
        <v>53</v>
      </c>
      <c r="K332" t="s">
        <v>34</v>
      </c>
      <c r="L332" t="s">
        <v>28</v>
      </c>
    </row>
    <row r="333" spans="2:12">
      <c r="B333" t="s">
        <v>1</v>
      </c>
      <c r="C333" s="4" t="s">
        <v>59</v>
      </c>
      <c r="D333" t="s">
        <v>61</v>
      </c>
      <c r="E333">
        <v>30</v>
      </c>
      <c r="F333">
        <v>1</v>
      </c>
      <c r="G333" s="32">
        <v>1</v>
      </c>
      <c r="H333">
        <v>1</v>
      </c>
      <c r="J333" t="s">
        <v>52</v>
      </c>
      <c r="K333" t="s">
        <v>37</v>
      </c>
      <c r="L333" t="s">
        <v>28</v>
      </c>
    </row>
    <row r="334" spans="2:12">
      <c r="D334" s="34" t="s">
        <v>61</v>
      </c>
      <c r="E334">
        <v>40</v>
      </c>
      <c r="F334">
        <v>1</v>
      </c>
      <c r="H334">
        <v>0</v>
      </c>
      <c r="J334" t="s">
        <v>19</v>
      </c>
      <c r="L334" t="s">
        <v>26</v>
      </c>
    </row>
    <row r="335" spans="2:12">
      <c r="D335" s="34" t="s">
        <v>61</v>
      </c>
      <c r="E335">
        <v>40</v>
      </c>
      <c r="F335">
        <v>2</v>
      </c>
      <c r="H335">
        <v>1</v>
      </c>
      <c r="J335" t="s">
        <v>53</v>
      </c>
      <c r="K335" t="s">
        <v>34</v>
      </c>
      <c r="L335" t="s">
        <v>28</v>
      </c>
    </row>
    <row r="336" spans="2:12">
      <c r="B336" t="s">
        <v>1</v>
      </c>
      <c r="C336" s="4" t="s">
        <v>59</v>
      </c>
      <c r="D336" t="s">
        <v>61</v>
      </c>
      <c r="E336">
        <v>50</v>
      </c>
      <c r="F336">
        <v>1</v>
      </c>
      <c r="G336" s="32">
        <v>1</v>
      </c>
      <c r="H336">
        <v>1</v>
      </c>
      <c r="J336" t="s">
        <v>52</v>
      </c>
      <c r="K336" t="s">
        <v>37</v>
      </c>
      <c r="L336" t="s">
        <v>28</v>
      </c>
    </row>
    <row r="337" spans="2:12">
      <c r="B337" t="s">
        <v>1</v>
      </c>
      <c r="C337" s="4" t="s">
        <v>59</v>
      </c>
      <c r="D337" t="s">
        <v>61</v>
      </c>
      <c r="E337">
        <v>50</v>
      </c>
      <c r="F337">
        <v>2</v>
      </c>
      <c r="G337" s="32">
        <v>2</v>
      </c>
      <c r="H337">
        <v>1</v>
      </c>
      <c r="J337" t="s">
        <v>19</v>
      </c>
      <c r="K337" t="s">
        <v>33</v>
      </c>
      <c r="L337" t="s">
        <v>26</v>
      </c>
    </row>
    <row r="338" spans="2:12">
      <c r="B338" t="s">
        <v>1</v>
      </c>
      <c r="C338" s="4" t="s">
        <v>59</v>
      </c>
      <c r="D338" t="s">
        <v>61</v>
      </c>
      <c r="E338">
        <v>60</v>
      </c>
      <c r="F338">
        <v>1</v>
      </c>
      <c r="G338" s="32">
        <v>1</v>
      </c>
      <c r="H338">
        <v>1</v>
      </c>
      <c r="J338" t="s">
        <v>52</v>
      </c>
      <c r="K338" t="s">
        <v>37</v>
      </c>
      <c r="L338" t="s">
        <v>28</v>
      </c>
    </row>
    <row r="339" spans="2:12">
      <c r="B339" t="s">
        <v>1</v>
      </c>
      <c r="C339" s="4" t="s">
        <v>59</v>
      </c>
      <c r="D339" t="s">
        <v>61</v>
      </c>
      <c r="E339">
        <v>60</v>
      </c>
      <c r="F339">
        <v>2</v>
      </c>
      <c r="G339" s="32">
        <v>2</v>
      </c>
      <c r="H339">
        <v>1</v>
      </c>
      <c r="J339" t="s">
        <v>19</v>
      </c>
      <c r="K339" t="s">
        <v>20</v>
      </c>
      <c r="L339" t="s">
        <v>26</v>
      </c>
    </row>
    <row r="340" spans="2:12">
      <c r="B340" t="s">
        <v>1</v>
      </c>
      <c r="C340" s="4" t="s">
        <v>59</v>
      </c>
      <c r="D340" t="s">
        <v>61</v>
      </c>
      <c r="E340">
        <v>60</v>
      </c>
      <c r="F340">
        <v>3</v>
      </c>
      <c r="G340" s="32">
        <v>2</v>
      </c>
      <c r="H340">
        <v>1</v>
      </c>
      <c r="J340" t="s">
        <v>42</v>
      </c>
      <c r="K340" t="s">
        <v>33</v>
      </c>
      <c r="L340" t="s">
        <v>26</v>
      </c>
    </row>
    <row r="341" spans="2:12">
      <c r="B341" t="s">
        <v>1</v>
      </c>
      <c r="C341" s="4" t="s">
        <v>59</v>
      </c>
      <c r="D341" t="s">
        <v>61</v>
      </c>
      <c r="E341">
        <v>70</v>
      </c>
      <c r="F341">
        <v>1</v>
      </c>
      <c r="G341" s="32">
        <v>1</v>
      </c>
      <c r="H341">
        <v>1</v>
      </c>
      <c r="J341" t="s">
        <v>52</v>
      </c>
      <c r="K341" t="s">
        <v>37</v>
      </c>
      <c r="L341" t="s">
        <v>28</v>
      </c>
    </row>
    <row r="342" spans="2:12">
      <c r="B342" t="s">
        <v>1</v>
      </c>
      <c r="C342" s="4" t="s">
        <v>59</v>
      </c>
      <c r="D342" t="s">
        <v>61</v>
      </c>
      <c r="E342">
        <v>70</v>
      </c>
      <c r="F342">
        <v>2</v>
      </c>
      <c r="G342" s="32">
        <v>2</v>
      </c>
      <c r="H342">
        <v>1</v>
      </c>
      <c r="J342" t="s">
        <v>19</v>
      </c>
      <c r="K342" t="s">
        <v>33</v>
      </c>
      <c r="L342" t="s">
        <v>26</v>
      </c>
    </row>
    <row r="343" spans="2:12">
      <c r="D343" s="34" t="s">
        <v>61</v>
      </c>
      <c r="E343">
        <v>80</v>
      </c>
      <c r="F343">
        <v>1</v>
      </c>
      <c r="H343">
        <v>1</v>
      </c>
      <c r="J343" t="s">
        <v>19</v>
      </c>
      <c r="K343" t="s">
        <v>34</v>
      </c>
      <c r="L343" t="s">
        <v>26</v>
      </c>
    </row>
    <row r="344" spans="2:12">
      <c r="D344" s="34" t="s">
        <v>61</v>
      </c>
      <c r="E344">
        <v>80</v>
      </c>
      <c r="F344">
        <v>2</v>
      </c>
      <c r="H344">
        <v>1</v>
      </c>
      <c r="J344" t="s">
        <v>53</v>
      </c>
      <c r="K344" t="s">
        <v>34</v>
      </c>
      <c r="L344" t="s">
        <v>28</v>
      </c>
    </row>
    <row r="345" spans="2:12">
      <c r="B345" t="s">
        <v>1</v>
      </c>
      <c r="C345" s="4" t="s">
        <v>59</v>
      </c>
      <c r="D345" t="s">
        <v>61</v>
      </c>
      <c r="E345">
        <v>90</v>
      </c>
      <c r="F345">
        <v>1</v>
      </c>
      <c r="G345" s="32">
        <v>1</v>
      </c>
      <c r="H345">
        <v>1</v>
      </c>
      <c r="J345" t="s">
        <v>19</v>
      </c>
      <c r="K345" t="s">
        <v>20</v>
      </c>
      <c r="L345" t="s">
        <v>26</v>
      </c>
    </row>
    <row r="346" spans="2:12">
      <c r="D346" s="34" t="s">
        <v>61</v>
      </c>
      <c r="E346">
        <v>100</v>
      </c>
      <c r="F346">
        <v>1</v>
      </c>
      <c r="H346">
        <v>1</v>
      </c>
      <c r="J346" t="s">
        <v>19</v>
      </c>
      <c r="K346" t="s">
        <v>34</v>
      </c>
      <c r="L346" t="s">
        <v>26</v>
      </c>
    </row>
    <row r="347" spans="2:12">
      <c r="B347" t="s">
        <v>1</v>
      </c>
      <c r="C347" s="4" t="s">
        <v>59</v>
      </c>
      <c r="D347" t="s">
        <v>61</v>
      </c>
      <c r="E347">
        <v>110</v>
      </c>
      <c r="F347">
        <v>1</v>
      </c>
      <c r="G347" s="32">
        <v>1</v>
      </c>
      <c r="H347">
        <v>1</v>
      </c>
      <c r="J347" t="s">
        <v>19</v>
      </c>
      <c r="K347" t="s">
        <v>20</v>
      </c>
      <c r="L347" t="s">
        <v>26</v>
      </c>
    </row>
    <row r="348" spans="2:12">
      <c r="B348" t="s">
        <v>1</v>
      </c>
      <c r="C348" s="4" t="s">
        <v>59</v>
      </c>
      <c r="D348" t="s">
        <v>61</v>
      </c>
      <c r="E348">
        <v>110</v>
      </c>
      <c r="F348">
        <v>2</v>
      </c>
      <c r="G348" s="32">
        <v>2</v>
      </c>
      <c r="H348">
        <v>1</v>
      </c>
      <c r="J348" t="s">
        <v>47</v>
      </c>
      <c r="K348" t="s">
        <v>33</v>
      </c>
      <c r="L348" t="s">
        <v>28</v>
      </c>
    </row>
    <row r="349" spans="2:12">
      <c r="D349" s="34" t="s">
        <v>61</v>
      </c>
      <c r="E349">
        <v>120</v>
      </c>
      <c r="F349">
        <v>1</v>
      </c>
      <c r="H349">
        <v>1</v>
      </c>
      <c r="J349" t="s">
        <v>57</v>
      </c>
      <c r="K349" t="s">
        <v>34</v>
      </c>
      <c r="L349" t="s">
        <v>26</v>
      </c>
    </row>
    <row r="350" spans="2:12">
      <c r="B350" t="s">
        <v>1</v>
      </c>
      <c r="C350" s="4" t="s">
        <v>59</v>
      </c>
      <c r="D350" t="s">
        <v>61</v>
      </c>
      <c r="E350">
        <v>130</v>
      </c>
      <c r="F350">
        <v>1</v>
      </c>
      <c r="G350" s="32">
        <v>0</v>
      </c>
      <c r="H350">
        <v>0</v>
      </c>
      <c r="J350" t="s">
        <v>19</v>
      </c>
      <c r="L350" t="s">
        <v>26</v>
      </c>
    </row>
    <row r="351" spans="2:12">
      <c r="B351" t="s">
        <v>1</v>
      </c>
      <c r="C351" s="4" t="s">
        <v>59</v>
      </c>
      <c r="D351" t="s">
        <v>61</v>
      </c>
      <c r="E351">
        <v>130</v>
      </c>
      <c r="F351">
        <v>2</v>
      </c>
      <c r="G351" s="32">
        <v>1</v>
      </c>
      <c r="H351">
        <v>1</v>
      </c>
      <c r="J351" t="s">
        <v>47</v>
      </c>
      <c r="K351" t="s">
        <v>33</v>
      </c>
      <c r="L351" t="s">
        <v>28</v>
      </c>
    </row>
    <row r="352" spans="2:12">
      <c r="B352" t="s">
        <v>1</v>
      </c>
      <c r="C352" s="4" t="s">
        <v>59</v>
      </c>
      <c r="D352" t="s">
        <v>61</v>
      </c>
      <c r="E352">
        <v>140</v>
      </c>
      <c r="F352">
        <v>1</v>
      </c>
      <c r="G352" s="32">
        <v>1</v>
      </c>
      <c r="H352">
        <v>1</v>
      </c>
      <c r="J352" t="s">
        <v>19</v>
      </c>
      <c r="K352" t="s">
        <v>20</v>
      </c>
      <c r="L352" t="s">
        <v>26</v>
      </c>
    </row>
    <row r="353" spans="2:12">
      <c r="B353" t="s">
        <v>1</v>
      </c>
      <c r="C353" s="4" t="s">
        <v>59</v>
      </c>
      <c r="D353" t="s">
        <v>61</v>
      </c>
      <c r="E353">
        <v>150</v>
      </c>
      <c r="F353">
        <v>1</v>
      </c>
      <c r="G353" s="32">
        <v>1</v>
      </c>
      <c r="H353">
        <v>1</v>
      </c>
      <c r="J353" t="s">
        <v>19</v>
      </c>
      <c r="K353" t="s">
        <v>20</v>
      </c>
      <c r="L353" t="s">
        <v>26</v>
      </c>
    </row>
    <row r="354" spans="2:12">
      <c r="B354" t="s">
        <v>1</v>
      </c>
      <c r="C354" s="4" t="s">
        <v>59</v>
      </c>
      <c r="D354" t="s">
        <v>61</v>
      </c>
      <c r="E354">
        <v>150</v>
      </c>
      <c r="F354">
        <v>2</v>
      </c>
      <c r="G354" s="32">
        <v>0</v>
      </c>
      <c r="H354">
        <v>0</v>
      </c>
      <c r="J354" t="s">
        <v>52</v>
      </c>
      <c r="L354" t="s">
        <v>28</v>
      </c>
    </row>
    <row r="355" spans="2:12">
      <c r="B355" t="s">
        <v>1</v>
      </c>
      <c r="C355" s="4" t="s">
        <v>59</v>
      </c>
      <c r="D355" t="s">
        <v>61</v>
      </c>
      <c r="E355">
        <v>160</v>
      </c>
      <c r="F355">
        <v>1</v>
      </c>
      <c r="G355" s="32">
        <v>1</v>
      </c>
      <c r="H355">
        <v>1</v>
      </c>
      <c r="J355" t="s">
        <v>52</v>
      </c>
      <c r="K355" t="s">
        <v>37</v>
      </c>
      <c r="L355" t="s">
        <v>28</v>
      </c>
    </row>
    <row r="356" spans="2:12">
      <c r="B356" t="s">
        <v>1</v>
      </c>
      <c r="C356" s="4" t="s">
        <v>59</v>
      </c>
      <c r="D356" t="s">
        <v>61</v>
      </c>
      <c r="E356">
        <v>160</v>
      </c>
      <c r="F356">
        <v>2</v>
      </c>
      <c r="G356" s="32">
        <v>2</v>
      </c>
      <c r="H356">
        <v>1</v>
      </c>
      <c r="J356" t="s">
        <v>19</v>
      </c>
      <c r="K356" t="s">
        <v>20</v>
      </c>
      <c r="L356" t="s">
        <v>26</v>
      </c>
    </row>
    <row r="357" spans="2:12">
      <c r="D357" s="34" t="s">
        <v>61</v>
      </c>
      <c r="E357">
        <v>170</v>
      </c>
      <c r="F357">
        <v>1</v>
      </c>
      <c r="H357">
        <v>1</v>
      </c>
      <c r="J357" t="s">
        <v>57</v>
      </c>
      <c r="K357" t="s">
        <v>34</v>
      </c>
      <c r="L357" t="s">
        <v>21</v>
      </c>
    </row>
    <row r="358" spans="2:12">
      <c r="D358" s="34" t="s">
        <v>61</v>
      </c>
      <c r="E358">
        <v>170</v>
      </c>
      <c r="F358">
        <v>2</v>
      </c>
      <c r="H358">
        <v>1</v>
      </c>
      <c r="J358" t="s">
        <v>53</v>
      </c>
      <c r="K358" t="s">
        <v>34</v>
      </c>
      <c r="L358" t="s">
        <v>28</v>
      </c>
    </row>
    <row r="359" spans="2:12">
      <c r="D359" s="34" t="s">
        <v>61</v>
      </c>
      <c r="E359">
        <v>180</v>
      </c>
      <c r="F359">
        <v>1</v>
      </c>
      <c r="H359">
        <v>1</v>
      </c>
      <c r="J359" t="s">
        <v>57</v>
      </c>
      <c r="K359" t="s">
        <v>34</v>
      </c>
      <c r="L359" t="s">
        <v>21</v>
      </c>
    </row>
    <row r="360" spans="2:12">
      <c r="D360" s="34" t="s">
        <v>61</v>
      </c>
      <c r="E360">
        <v>180</v>
      </c>
      <c r="F360">
        <v>2</v>
      </c>
      <c r="H360">
        <v>1</v>
      </c>
      <c r="J360" t="s">
        <v>53</v>
      </c>
      <c r="K360" t="s">
        <v>31</v>
      </c>
      <c r="L360" t="s">
        <v>28</v>
      </c>
    </row>
    <row r="361" spans="2:12">
      <c r="B361" t="s">
        <v>1</v>
      </c>
      <c r="C361" s="4" t="s">
        <v>59</v>
      </c>
      <c r="D361" t="s">
        <v>61</v>
      </c>
      <c r="E361">
        <v>190</v>
      </c>
      <c r="F361">
        <v>1</v>
      </c>
      <c r="G361" s="32">
        <v>1</v>
      </c>
      <c r="H361">
        <v>1</v>
      </c>
      <c r="J361" t="s">
        <v>52</v>
      </c>
      <c r="K361" t="s">
        <v>37</v>
      </c>
      <c r="L361" t="s">
        <v>28</v>
      </c>
    </row>
    <row r="362" spans="2:12">
      <c r="B362" t="s">
        <v>1</v>
      </c>
      <c r="C362" s="4" t="s">
        <v>59</v>
      </c>
      <c r="D362" t="s">
        <v>61</v>
      </c>
      <c r="E362">
        <v>190</v>
      </c>
      <c r="F362">
        <v>2</v>
      </c>
      <c r="G362" s="32">
        <v>2</v>
      </c>
      <c r="H362">
        <v>1</v>
      </c>
      <c r="J362" t="s">
        <v>19</v>
      </c>
      <c r="K362" t="s">
        <v>20</v>
      </c>
      <c r="L362" t="s">
        <v>26</v>
      </c>
    </row>
    <row r="363" spans="2:12">
      <c r="D363" s="34" t="s">
        <v>61</v>
      </c>
      <c r="E363">
        <v>200</v>
      </c>
      <c r="F363">
        <v>1</v>
      </c>
      <c r="H363">
        <v>1</v>
      </c>
      <c r="J363" t="s">
        <v>57</v>
      </c>
      <c r="K363" t="s">
        <v>34</v>
      </c>
      <c r="L363" t="s">
        <v>26</v>
      </c>
    </row>
    <row r="364" spans="2:12">
      <c r="D364" s="34" t="s">
        <v>61</v>
      </c>
      <c r="E364">
        <v>200</v>
      </c>
      <c r="F364">
        <v>2</v>
      </c>
      <c r="H364">
        <v>1</v>
      </c>
      <c r="J364" t="s">
        <v>53</v>
      </c>
      <c r="K364" t="s">
        <v>31</v>
      </c>
      <c r="L364" t="s">
        <v>28</v>
      </c>
    </row>
    <row r="365" spans="2:12">
      <c r="D365" s="34" t="s">
        <v>61</v>
      </c>
      <c r="E365">
        <v>210</v>
      </c>
      <c r="F365">
        <v>1</v>
      </c>
      <c r="H365">
        <v>1</v>
      </c>
      <c r="J365" t="s">
        <v>57</v>
      </c>
      <c r="K365" t="s">
        <v>34</v>
      </c>
      <c r="L365" t="s">
        <v>26</v>
      </c>
    </row>
    <row r="366" spans="2:12">
      <c r="D366" s="34" t="s">
        <v>61</v>
      </c>
      <c r="E366">
        <v>210</v>
      </c>
      <c r="F366">
        <v>2</v>
      </c>
      <c r="H366">
        <v>1</v>
      </c>
      <c r="J366" t="s">
        <v>53</v>
      </c>
      <c r="K366" t="s">
        <v>34</v>
      </c>
      <c r="L366" t="s">
        <v>28</v>
      </c>
    </row>
    <row r="367" spans="2:12">
      <c r="D367" s="34" t="s">
        <v>61</v>
      </c>
      <c r="E367">
        <v>220</v>
      </c>
      <c r="F367">
        <v>1</v>
      </c>
      <c r="H367">
        <v>1</v>
      </c>
      <c r="J367" t="s">
        <v>57</v>
      </c>
      <c r="K367" t="s">
        <v>34</v>
      </c>
      <c r="L367" t="s">
        <v>26</v>
      </c>
    </row>
    <row r="368" spans="2:12">
      <c r="D368" s="34" t="s">
        <v>61</v>
      </c>
      <c r="E368">
        <v>220</v>
      </c>
      <c r="F368">
        <v>2</v>
      </c>
      <c r="H368">
        <v>1</v>
      </c>
      <c r="J368" t="s">
        <v>53</v>
      </c>
      <c r="K368" t="s">
        <v>34</v>
      </c>
      <c r="L368" t="s">
        <v>28</v>
      </c>
    </row>
    <row r="369" spans="2:12">
      <c r="D369" s="34" t="s">
        <v>61</v>
      </c>
      <c r="E369">
        <v>230</v>
      </c>
      <c r="F369">
        <v>1</v>
      </c>
      <c r="H369">
        <v>1</v>
      </c>
      <c r="J369" t="s">
        <v>57</v>
      </c>
      <c r="K369" t="s">
        <v>34</v>
      </c>
      <c r="L369" t="s">
        <v>26</v>
      </c>
    </row>
    <row r="370" spans="2:12">
      <c r="B370" t="s">
        <v>1</v>
      </c>
      <c r="C370" s="4" t="s">
        <v>59</v>
      </c>
      <c r="D370" t="s">
        <v>61</v>
      </c>
      <c r="E370">
        <v>240</v>
      </c>
      <c r="F370">
        <v>1</v>
      </c>
      <c r="G370" s="32">
        <v>1</v>
      </c>
      <c r="H370">
        <v>1</v>
      </c>
      <c r="J370" t="s">
        <v>19</v>
      </c>
      <c r="K370" t="s">
        <v>20</v>
      </c>
      <c r="L370" t="s">
        <v>26</v>
      </c>
    </row>
    <row r="371" spans="2:12">
      <c r="B371" t="s">
        <v>1</v>
      </c>
      <c r="C371" s="4" t="s">
        <v>59</v>
      </c>
      <c r="D371" t="s">
        <v>61</v>
      </c>
      <c r="E371">
        <v>240</v>
      </c>
      <c r="F371">
        <v>2</v>
      </c>
      <c r="G371" s="32">
        <v>2</v>
      </c>
      <c r="H371">
        <v>1</v>
      </c>
      <c r="J371" t="s">
        <v>47</v>
      </c>
      <c r="K371" t="s">
        <v>36</v>
      </c>
      <c r="L371" t="s">
        <v>28</v>
      </c>
    </row>
    <row r="372" spans="2:12">
      <c r="D372" s="34" t="s">
        <v>61</v>
      </c>
      <c r="E372">
        <v>250</v>
      </c>
      <c r="F372">
        <v>1</v>
      </c>
      <c r="H372">
        <v>1</v>
      </c>
      <c r="I372" s="12"/>
      <c r="J372" s="12" t="s">
        <v>19</v>
      </c>
      <c r="K372" s="12" t="s">
        <v>20</v>
      </c>
      <c r="L372" s="12" t="s">
        <v>26</v>
      </c>
    </row>
    <row r="373" spans="2:12">
      <c r="D373" s="34" t="s">
        <v>61</v>
      </c>
      <c r="E373">
        <v>250</v>
      </c>
      <c r="F373">
        <v>2</v>
      </c>
      <c r="H373">
        <v>1</v>
      </c>
      <c r="I373" s="12"/>
      <c r="J373" s="12" t="s">
        <v>57</v>
      </c>
      <c r="K373" s="12" t="s">
        <v>34</v>
      </c>
      <c r="L373" s="12" t="s">
        <v>28</v>
      </c>
    </row>
    <row r="374" spans="2:12">
      <c r="D374" s="34" t="s">
        <v>61</v>
      </c>
      <c r="E374">
        <v>260</v>
      </c>
      <c r="F374">
        <v>0</v>
      </c>
    </row>
    <row r="375" spans="2:12">
      <c r="D375" s="34" t="s">
        <v>61</v>
      </c>
      <c r="E375">
        <v>270</v>
      </c>
      <c r="F375">
        <v>1</v>
      </c>
      <c r="H375">
        <v>0</v>
      </c>
      <c r="J375" t="s">
        <v>19</v>
      </c>
      <c r="L375" t="s">
        <v>26</v>
      </c>
    </row>
    <row r="376" spans="2:12">
      <c r="D376" s="34" t="s">
        <v>61</v>
      </c>
      <c r="E376">
        <v>280</v>
      </c>
      <c r="F376">
        <v>1</v>
      </c>
      <c r="J376" t="s">
        <v>38</v>
      </c>
      <c r="K376" t="s">
        <v>27</v>
      </c>
      <c r="L376" t="s">
        <v>26</v>
      </c>
    </row>
    <row r="377" spans="2:12">
      <c r="D377" s="34" t="s">
        <v>61</v>
      </c>
      <c r="E377">
        <v>280</v>
      </c>
      <c r="F377">
        <v>2</v>
      </c>
      <c r="J377" t="s">
        <v>57</v>
      </c>
      <c r="K377" t="s">
        <v>34</v>
      </c>
      <c r="L377" t="s">
        <v>28</v>
      </c>
    </row>
    <row r="378" spans="2:12">
      <c r="B378" t="s">
        <v>1</v>
      </c>
      <c r="C378" s="4" t="s">
        <v>59</v>
      </c>
      <c r="D378" t="s">
        <v>61</v>
      </c>
      <c r="E378">
        <v>290</v>
      </c>
      <c r="F378">
        <v>1</v>
      </c>
      <c r="G378" s="32">
        <v>2</v>
      </c>
      <c r="H378">
        <v>1</v>
      </c>
      <c r="J378" t="s">
        <v>19</v>
      </c>
      <c r="K378" t="s">
        <v>20</v>
      </c>
      <c r="L378" t="s">
        <v>26</v>
      </c>
    </row>
    <row r="379" spans="2:12">
      <c r="B379" t="s">
        <v>1</v>
      </c>
      <c r="C379" s="4" t="s">
        <v>59</v>
      </c>
      <c r="D379" t="s">
        <v>61</v>
      </c>
      <c r="E379">
        <v>290</v>
      </c>
      <c r="F379">
        <v>2</v>
      </c>
      <c r="G379" s="32">
        <v>2</v>
      </c>
      <c r="H379">
        <v>1</v>
      </c>
      <c r="J379" t="s">
        <v>42</v>
      </c>
      <c r="K379" t="s">
        <v>20</v>
      </c>
      <c r="L379" t="s">
        <v>26</v>
      </c>
    </row>
    <row r="380" spans="2:12">
      <c r="B380" t="s">
        <v>1</v>
      </c>
      <c r="C380" s="4" t="s">
        <v>59</v>
      </c>
      <c r="D380" t="s">
        <v>61</v>
      </c>
      <c r="E380">
        <v>290</v>
      </c>
      <c r="F380">
        <v>3</v>
      </c>
      <c r="G380" s="32">
        <v>1</v>
      </c>
      <c r="H380">
        <v>1</v>
      </c>
      <c r="J380" t="s">
        <v>47</v>
      </c>
      <c r="K380" t="s">
        <v>33</v>
      </c>
      <c r="L380" t="s">
        <v>28</v>
      </c>
    </row>
    <row r="381" spans="2:12">
      <c r="D381" s="34" t="s">
        <v>61</v>
      </c>
      <c r="E381">
        <v>300</v>
      </c>
      <c r="F381">
        <v>1</v>
      </c>
      <c r="H381">
        <v>0</v>
      </c>
      <c r="J381" t="s">
        <v>19</v>
      </c>
      <c r="L381" t="s">
        <v>26</v>
      </c>
    </row>
    <row r="382" spans="2:12">
      <c r="D382" s="34" t="s">
        <v>61</v>
      </c>
      <c r="E382">
        <v>300</v>
      </c>
      <c r="F382">
        <v>2</v>
      </c>
      <c r="H382">
        <v>0</v>
      </c>
      <c r="J382" t="s">
        <v>57</v>
      </c>
      <c r="L382" t="s">
        <v>28</v>
      </c>
    </row>
    <row r="383" spans="2:12">
      <c r="D383" s="34" t="s">
        <v>61</v>
      </c>
      <c r="E383">
        <v>310</v>
      </c>
      <c r="F383">
        <v>1</v>
      </c>
      <c r="H383">
        <v>1</v>
      </c>
      <c r="J383" t="s">
        <v>19</v>
      </c>
      <c r="K383" t="s">
        <v>20</v>
      </c>
      <c r="L383" t="s">
        <v>26</v>
      </c>
    </row>
    <row r="384" spans="2:12">
      <c r="D384" s="34" t="s">
        <v>61</v>
      </c>
      <c r="E384">
        <v>310</v>
      </c>
      <c r="F384">
        <v>1</v>
      </c>
      <c r="H384">
        <v>1</v>
      </c>
      <c r="J384" t="s">
        <v>42</v>
      </c>
      <c r="K384" t="s">
        <v>34</v>
      </c>
      <c r="L384" t="s">
        <v>39</v>
      </c>
    </row>
    <row r="385" spans="2:12">
      <c r="D385" s="34" t="s">
        <v>61</v>
      </c>
      <c r="E385">
        <v>320</v>
      </c>
      <c r="F385">
        <v>1</v>
      </c>
      <c r="H385">
        <v>0</v>
      </c>
      <c r="J385" t="s">
        <v>19</v>
      </c>
      <c r="L385" t="s">
        <v>26</v>
      </c>
    </row>
    <row r="386" spans="2:12">
      <c r="B386" t="s">
        <v>1</v>
      </c>
      <c r="C386" s="4" t="s">
        <v>59</v>
      </c>
      <c r="D386" t="s">
        <v>61</v>
      </c>
      <c r="E386">
        <v>330</v>
      </c>
      <c r="F386">
        <v>1</v>
      </c>
      <c r="G386" s="32">
        <v>2</v>
      </c>
      <c r="H386">
        <v>1</v>
      </c>
      <c r="J386" t="s">
        <v>47</v>
      </c>
      <c r="K386" t="s">
        <v>33</v>
      </c>
      <c r="L386" t="s">
        <v>28</v>
      </c>
    </row>
    <row r="387" spans="2:12">
      <c r="B387" t="s">
        <v>1</v>
      </c>
      <c r="C387" s="4" t="s">
        <v>59</v>
      </c>
      <c r="D387" t="s">
        <v>61</v>
      </c>
      <c r="E387">
        <v>330</v>
      </c>
      <c r="F387">
        <v>2</v>
      </c>
      <c r="G387" s="32">
        <v>1</v>
      </c>
      <c r="H387">
        <v>1</v>
      </c>
      <c r="J387" t="s">
        <v>19</v>
      </c>
      <c r="K387" t="s">
        <v>33</v>
      </c>
      <c r="L387" t="s">
        <v>26</v>
      </c>
    </row>
    <row r="388" spans="2:12">
      <c r="D388" t="s">
        <v>62</v>
      </c>
      <c r="E388">
        <v>0</v>
      </c>
      <c r="F388">
        <v>1</v>
      </c>
      <c r="H388">
        <v>1</v>
      </c>
      <c r="J388" t="s">
        <v>19</v>
      </c>
      <c r="K388" t="s">
        <v>34</v>
      </c>
      <c r="L388" t="s">
        <v>26</v>
      </c>
    </row>
    <row r="389" spans="2:12">
      <c r="D389" t="s">
        <v>62</v>
      </c>
      <c r="E389">
        <v>0</v>
      </c>
      <c r="F389">
        <v>2</v>
      </c>
      <c r="H389">
        <v>2</v>
      </c>
      <c r="J389" t="s">
        <v>57</v>
      </c>
      <c r="K389" t="s">
        <v>34</v>
      </c>
      <c r="L389" t="s">
        <v>28</v>
      </c>
    </row>
    <row r="390" spans="2:12">
      <c r="D390" t="s">
        <v>62</v>
      </c>
      <c r="E390">
        <v>10</v>
      </c>
      <c r="F390">
        <v>1</v>
      </c>
      <c r="H390">
        <v>1</v>
      </c>
      <c r="J390" t="s">
        <v>19</v>
      </c>
      <c r="K390" t="s">
        <v>20</v>
      </c>
      <c r="L390" t="s">
        <v>26</v>
      </c>
    </row>
    <row r="391" spans="2:12">
      <c r="D391" t="s">
        <v>62</v>
      </c>
      <c r="E391">
        <v>10</v>
      </c>
      <c r="F391">
        <v>1</v>
      </c>
      <c r="H391">
        <v>0</v>
      </c>
      <c r="J391" t="s">
        <v>42</v>
      </c>
      <c r="L391" t="s">
        <v>26</v>
      </c>
    </row>
    <row r="392" spans="2:12">
      <c r="D392" t="s">
        <v>62</v>
      </c>
      <c r="E392">
        <v>20</v>
      </c>
      <c r="F392">
        <v>1</v>
      </c>
      <c r="H392">
        <v>1</v>
      </c>
      <c r="J392" t="s">
        <v>19</v>
      </c>
      <c r="K392" t="s">
        <v>20</v>
      </c>
      <c r="L392" t="s">
        <v>26</v>
      </c>
    </row>
    <row r="393" spans="2:12">
      <c r="D393" t="s">
        <v>62</v>
      </c>
      <c r="E393">
        <v>30</v>
      </c>
      <c r="F393">
        <v>1</v>
      </c>
      <c r="H393">
        <v>1</v>
      </c>
      <c r="J393" t="s">
        <v>19</v>
      </c>
      <c r="K393" t="s">
        <v>20</v>
      </c>
      <c r="L393" t="s">
        <v>26</v>
      </c>
    </row>
    <row r="394" spans="2:12">
      <c r="B394" t="s">
        <v>1</v>
      </c>
      <c r="C394" s="5" t="s">
        <v>59</v>
      </c>
      <c r="D394" s="1" t="s">
        <v>62</v>
      </c>
      <c r="E394" s="7">
        <v>40</v>
      </c>
      <c r="F394">
        <v>1</v>
      </c>
      <c r="G394" s="32">
        <v>1</v>
      </c>
      <c r="H394" s="7">
        <v>1</v>
      </c>
      <c r="I394" s="7"/>
      <c r="J394" t="s">
        <v>52</v>
      </c>
      <c r="K394" t="s">
        <v>37</v>
      </c>
      <c r="L394" t="s">
        <v>28</v>
      </c>
    </row>
    <row r="395" spans="2:12">
      <c r="B395" t="s">
        <v>1</v>
      </c>
      <c r="C395" s="5" t="s">
        <v>59</v>
      </c>
      <c r="D395" s="1" t="s">
        <v>62</v>
      </c>
      <c r="E395" s="7">
        <v>50</v>
      </c>
      <c r="F395">
        <v>1</v>
      </c>
      <c r="G395" s="33">
        <v>1</v>
      </c>
      <c r="H395" s="7">
        <v>1</v>
      </c>
      <c r="I395" s="7"/>
      <c r="J395" t="s">
        <v>52</v>
      </c>
      <c r="K395" t="s">
        <v>37</v>
      </c>
      <c r="L395" t="s">
        <v>28</v>
      </c>
    </row>
    <row r="396" spans="2:12">
      <c r="D396" t="s">
        <v>62</v>
      </c>
      <c r="E396">
        <v>60</v>
      </c>
      <c r="F396">
        <v>1</v>
      </c>
      <c r="H396">
        <v>1</v>
      </c>
      <c r="J396" t="s">
        <v>53</v>
      </c>
      <c r="K396" t="s">
        <v>31</v>
      </c>
      <c r="L396" t="s">
        <v>28</v>
      </c>
    </row>
    <row r="397" spans="2:12">
      <c r="B397" t="s">
        <v>1</v>
      </c>
      <c r="C397" s="5" t="s">
        <v>59</v>
      </c>
      <c r="D397" s="1" t="s">
        <v>62</v>
      </c>
      <c r="E397" s="7">
        <v>70</v>
      </c>
      <c r="F397">
        <v>1</v>
      </c>
      <c r="G397" s="33">
        <v>1</v>
      </c>
      <c r="H397" s="7">
        <v>1</v>
      </c>
      <c r="I397" s="7"/>
      <c r="J397" t="s">
        <v>52</v>
      </c>
      <c r="K397" t="s">
        <v>33</v>
      </c>
      <c r="L397" t="s">
        <v>28</v>
      </c>
    </row>
    <row r="398" spans="2:12">
      <c r="B398" t="s">
        <v>1</v>
      </c>
      <c r="C398" s="5" t="s">
        <v>59</v>
      </c>
      <c r="D398" s="1" t="s">
        <v>62</v>
      </c>
      <c r="E398" s="7">
        <v>80</v>
      </c>
      <c r="F398">
        <v>1</v>
      </c>
      <c r="G398" s="33">
        <v>1</v>
      </c>
      <c r="H398" s="7">
        <v>1</v>
      </c>
      <c r="I398" s="7"/>
      <c r="J398" t="s">
        <v>52</v>
      </c>
      <c r="K398" t="s">
        <v>37</v>
      </c>
      <c r="L398" t="s">
        <v>28</v>
      </c>
    </row>
    <row r="399" spans="2:12">
      <c r="B399" t="s">
        <v>1</v>
      </c>
      <c r="C399" s="5" t="s">
        <v>59</v>
      </c>
      <c r="D399" s="1" t="s">
        <v>62</v>
      </c>
      <c r="E399" s="7">
        <v>90</v>
      </c>
      <c r="F399">
        <v>1</v>
      </c>
      <c r="G399" s="33">
        <v>1</v>
      </c>
      <c r="H399" s="7">
        <v>1</v>
      </c>
      <c r="I399" s="7"/>
      <c r="J399" t="s">
        <v>52</v>
      </c>
      <c r="K399" t="s">
        <v>37</v>
      </c>
      <c r="L399" t="s">
        <v>28</v>
      </c>
    </row>
    <row r="400" spans="2:12">
      <c r="D400" t="s">
        <v>62</v>
      </c>
      <c r="E400">
        <v>100</v>
      </c>
      <c r="F400">
        <v>1</v>
      </c>
      <c r="H400">
        <v>0</v>
      </c>
      <c r="J400" t="s">
        <v>53</v>
      </c>
      <c r="K400" t="s">
        <v>34</v>
      </c>
      <c r="L400" t="s">
        <v>28</v>
      </c>
    </row>
    <row r="401" spans="2:12">
      <c r="D401" t="s">
        <v>62</v>
      </c>
      <c r="E401">
        <v>110</v>
      </c>
      <c r="F401">
        <v>1</v>
      </c>
      <c r="H401">
        <v>1</v>
      </c>
      <c r="J401" t="s">
        <v>53</v>
      </c>
      <c r="K401" t="s">
        <v>34</v>
      </c>
      <c r="L401" t="s">
        <v>28</v>
      </c>
    </row>
    <row r="402" spans="2:12">
      <c r="D402" t="s">
        <v>62</v>
      </c>
      <c r="E402">
        <v>120</v>
      </c>
      <c r="F402">
        <v>1</v>
      </c>
      <c r="H402">
        <v>0</v>
      </c>
      <c r="J402" t="s">
        <v>53</v>
      </c>
      <c r="L402" t="s">
        <v>28</v>
      </c>
    </row>
    <row r="403" spans="2:12">
      <c r="D403" t="s">
        <v>62</v>
      </c>
      <c r="E403">
        <v>130</v>
      </c>
      <c r="F403">
        <v>1</v>
      </c>
      <c r="H403">
        <v>1</v>
      </c>
      <c r="J403" t="s">
        <v>53</v>
      </c>
      <c r="K403" t="s">
        <v>34</v>
      </c>
      <c r="L403" t="s">
        <v>28</v>
      </c>
    </row>
    <row r="404" spans="2:12">
      <c r="D404" t="s">
        <v>62</v>
      </c>
      <c r="E404">
        <v>140</v>
      </c>
      <c r="F404">
        <v>1</v>
      </c>
      <c r="H404">
        <v>1</v>
      </c>
      <c r="J404" t="s">
        <v>19</v>
      </c>
      <c r="K404" t="s">
        <v>34</v>
      </c>
      <c r="L404" t="s">
        <v>26</v>
      </c>
    </row>
    <row r="405" spans="2:12">
      <c r="D405" t="s">
        <v>62</v>
      </c>
      <c r="E405">
        <v>140</v>
      </c>
      <c r="F405">
        <v>2</v>
      </c>
      <c r="H405">
        <v>0</v>
      </c>
      <c r="J405" t="s">
        <v>53</v>
      </c>
      <c r="L405" t="s">
        <v>28</v>
      </c>
    </row>
    <row r="406" spans="2:12">
      <c r="D406" t="s">
        <v>62</v>
      </c>
      <c r="E406">
        <v>150</v>
      </c>
      <c r="F406">
        <v>1</v>
      </c>
      <c r="H406">
        <v>1</v>
      </c>
      <c r="J406" t="s">
        <v>53</v>
      </c>
      <c r="K406" t="s">
        <v>34</v>
      </c>
      <c r="L406" t="s">
        <v>28</v>
      </c>
    </row>
    <row r="407" spans="2:12">
      <c r="D407" t="s">
        <v>62</v>
      </c>
      <c r="E407">
        <v>160</v>
      </c>
      <c r="F407">
        <v>1</v>
      </c>
      <c r="H407">
        <v>1</v>
      </c>
      <c r="J407" t="s">
        <v>53</v>
      </c>
      <c r="K407" t="s">
        <v>34</v>
      </c>
      <c r="L407" t="s">
        <v>28</v>
      </c>
    </row>
    <row r="408" spans="2:12">
      <c r="D408" t="s">
        <v>62</v>
      </c>
      <c r="E408">
        <v>170</v>
      </c>
      <c r="F408">
        <v>1</v>
      </c>
      <c r="H408">
        <v>1</v>
      </c>
      <c r="J408" t="s">
        <v>53</v>
      </c>
      <c r="K408" t="s">
        <v>34</v>
      </c>
      <c r="L408" t="s">
        <v>28</v>
      </c>
    </row>
    <row r="409" spans="2:12">
      <c r="D409" t="s">
        <v>62</v>
      </c>
      <c r="E409">
        <v>180</v>
      </c>
      <c r="I409" t="s">
        <v>63</v>
      </c>
    </row>
    <row r="410" spans="2:12">
      <c r="D410" t="s">
        <v>62</v>
      </c>
      <c r="E410">
        <v>190</v>
      </c>
      <c r="F410">
        <v>1</v>
      </c>
      <c r="H410">
        <v>0</v>
      </c>
      <c r="J410" t="s">
        <v>57</v>
      </c>
      <c r="L410" t="s">
        <v>28</v>
      </c>
    </row>
    <row r="411" spans="2:12">
      <c r="D411" t="s">
        <v>62</v>
      </c>
      <c r="E411">
        <v>200</v>
      </c>
      <c r="F411">
        <v>1</v>
      </c>
      <c r="H411">
        <v>1</v>
      </c>
      <c r="J411" t="s">
        <v>19</v>
      </c>
      <c r="K411" t="s">
        <v>20</v>
      </c>
      <c r="L411" t="s">
        <v>26</v>
      </c>
    </row>
    <row r="412" spans="2:12">
      <c r="D412" t="s">
        <v>62</v>
      </c>
      <c r="E412">
        <v>200</v>
      </c>
      <c r="F412">
        <v>2</v>
      </c>
      <c r="H412">
        <v>0</v>
      </c>
      <c r="J412" t="s">
        <v>57</v>
      </c>
      <c r="L412" t="s">
        <v>28</v>
      </c>
    </row>
    <row r="413" spans="2:12">
      <c r="D413" t="s">
        <v>62</v>
      </c>
      <c r="E413">
        <v>210</v>
      </c>
      <c r="F413">
        <v>1</v>
      </c>
      <c r="H413">
        <v>1</v>
      </c>
      <c r="J413" t="s">
        <v>57</v>
      </c>
      <c r="K413" t="s">
        <v>34</v>
      </c>
      <c r="L413" t="s">
        <v>28</v>
      </c>
    </row>
    <row r="414" spans="2:12">
      <c r="D414" t="s">
        <v>62</v>
      </c>
      <c r="E414">
        <v>220</v>
      </c>
      <c r="F414">
        <v>1</v>
      </c>
      <c r="H414">
        <v>1</v>
      </c>
      <c r="J414" t="s">
        <v>19</v>
      </c>
      <c r="K414" t="s">
        <v>20</v>
      </c>
      <c r="L414" t="s">
        <v>26</v>
      </c>
    </row>
    <row r="415" spans="2:12">
      <c r="D415" t="s">
        <v>62</v>
      </c>
      <c r="E415">
        <v>220</v>
      </c>
      <c r="F415">
        <v>2</v>
      </c>
      <c r="H415">
        <v>0</v>
      </c>
      <c r="J415" t="s">
        <v>57</v>
      </c>
      <c r="L415" t="s">
        <v>28</v>
      </c>
    </row>
    <row r="416" spans="2:12">
      <c r="B416" t="s">
        <v>1</v>
      </c>
      <c r="C416" s="5" t="s">
        <v>59</v>
      </c>
      <c r="D416" s="1" t="s">
        <v>62</v>
      </c>
      <c r="E416" s="7">
        <v>230</v>
      </c>
      <c r="F416">
        <v>1</v>
      </c>
      <c r="G416" s="33">
        <v>1</v>
      </c>
      <c r="H416" s="7">
        <v>1</v>
      </c>
      <c r="I416" s="7"/>
      <c r="J416" t="s">
        <v>19</v>
      </c>
      <c r="K416" t="s">
        <v>20</v>
      </c>
      <c r="L416" t="s">
        <v>26</v>
      </c>
    </row>
    <row r="417" spans="2:12">
      <c r="D417" t="s">
        <v>62</v>
      </c>
      <c r="E417">
        <v>240</v>
      </c>
      <c r="F417">
        <v>1</v>
      </c>
      <c r="H417">
        <v>1</v>
      </c>
      <c r="J417" t="s">
        <v>19</v>
      </c>
      <c r="K417" t="s">
        <v>20</v>
      </c>
      <c r="L417" t="s">
        <v>26</v>
      </c>
    </row>
    <row r="418" spans="2:12">
      <c r="D418" t="s">
        <v>62</v>
      </c>
      <c r="E418">
        <v>240</v>
      </c>
      <c r="F418">
        <v>2</v>
      </c>
      <c r="H418">
        <v>1</v>
      </c>
      <c r="J418" t="s">
        <v>53</v>
      </c>
      <c r="K418" t="s">
        <v>34</v>
      </c>
      <c r="L418" t="s">
        <v>28</v>
      </c>
    </row>
    <row r="419" spans="2:12">
      <c r="D419" t="s">
        <v>62</v>
      </c>
      <c r="E419">
        <v>250</v>
      </c>
      <c r="F419">
        <v>1</v>
      </c>
      <c r="H419">
        <v>1</v>
      </c>
      <c r="J419" t="s">
        <v>53</v>
      </c>
      <c r="K419" t="s">
        <v>31</v>
      </c>
      <c r="L419" t="s">
        <v>28</v>
      </c>
    </row>
    <row r="420" spans="2:12">
      <c r="D420" t="s">
        <v>62</v>
      </c>
      <c r="E420">
        <v>260</v>
      </c>
      <c r="F420">
        <v>1</v>
      </c>
      <c r="H420">
        <v>1</v>
      </c>
      <c r="J420" t="s">
        <v>19</v>
      </c>
      <c r="K420" t="s">
        <v>20</v>
      </c>
      <c r="L420" t="s">
        <v>26</v>
      </c>
    </row>
    <row r="421" spans="2:12">
      <c r="D421" t="s">
        <v>62</v>
      </c>
      <c r="E421">
        <v>260</v>
      </c>
      <c r="F421">
        <v>2</v>
      </c>
      <c r="H421">
        <v>1</v>
      </c>
      <c r="J421" t="s">
        <v>53</v>
      </c>
      <c r="K421" t="s">
        <v>34</v>
      </c>
      <c r="L421" t="s">
        <v>28</v>
      </c>
    </row>
    <row r="422" spans="2:12">
      <c r="D422" t="s">
        <v>62</v>
      </c>
      <c r="E422">
        <v>270</v>
      </c>
      <c r="F422">
        <v>1</v>
      </c>
      <c r="H422">
        <v>1</v>
      </c>
      <c r="J422" t="s">
        <v>19</v>
      </c>
      <c r="K422" t="s">
        <v>20</v>
      </c>
      <c r="L422" t="s">
        <v>26</v>
      </c>
    </row>
    <row r="423" spans="2:12">
      <c r="D423" t="s">
        <v>62</v>
      </c>
      <c r="E423">
        <v>270</v>
      </c>
      <c r="F423">
        <v>2</v>
      </c>
      <c r="H423">
        <v>1</v>
      </c>
      <c r="J423" t="s">
        <v>53</v>
      </c>
      <c r="K423" t="s">
        <v>34</v>
      </c>
      <c r="L423" t="s">
        <v>28</v>
      </c>
    </row>
    <row r="424" spans="2:12">
      <c r="D424" t="s">
        <v>62</v>
      </c>
      <c r="E424">
        <v>280</v>
      </c>
      <c r="F424">
        <v>1</v>
      </c>
      <c r="H424">
        <v>0</v>
      </c>
      <c r="J424" t="s">
        <v>53</v>
      </c>
      <c r="L424" t="s">
        <v>28</v>
      </c>
    </row>
    <row r="425" spans="2:12">
      <c r="D425" t="s">
        <v>62</v>
      </c>
      <c r="E425">
        <v>290</v>
      </c>
      <c r="F425">
        <v>1</v>
      </c>
      <c r="H425">
        <v>0</v>
      </c>
      <c r="J425" t="s">
        <v>57</v>
      </c>
      <c r="L425" t="s">
        <v>26</v>
      </c>
    </row>
    <row r="426" spans="2:12">
      <c r="D426" t="s">
        <v>62</v>
      </c>
      <c r="E426">
        <v>290</v>
      </c>
      <c r="F426">
        <v>2</v>
      </c>
      <c r="H426">
        <v>1</v>
      </c>
      <c r="J426" t="s">
        <v>53</v>
      </c>
      <c r="K426" t="s">
        <v>34</v>
      </c>
      <c r="L426" t="s">
        <v>28</v>
      </c>
    </row>
    <row r="427" spans="2:12">
      <c r="D427" t="s">
        <v>62</v>
      </c>
      <c r="E427">
        <v>300</v>
      </c>
      <c r="F427">
        <v>1</v>
      </c>
      <c r="H427">
        <v>1</v>
      </c>
      <c r="J427" t="s">
        <v>19</v>
      </c>
      <c r="K427" t="s">
        <v>20</v>
      </c>
      <c r="L427" t="s">
        <v>26</v>
      </c>
    </row>
    <row r="428" spans="2:12">
      <c r="D428" t="s">
        <v>62</v>
      </c>
      <c r="E428">
        <v>300</v>
      </c>
      <c r="F428">
        <v>2</v>
      </c>
      <c r="H428">
        <v>0</v>
      </c>
      <c r="J428" t="s">
        <v>53</v>
      </c>
      <c r="L428" t="s">
        <v>28</v>
      </c>
    </row>
    <row r="429" spans="2:12">
      <c r="B429" t="s">
        <v>1</v>
      </c>
      <c r="C429" s="5" t="s">
        <v>59</v>
      </c>
      <c r="D429" s="1" t="s">
        <v>62</v>
      </c>
      <c r="E429" s="7">
        <v>310</v>
      </c>
      <c r="F429">
        <v>1</v>
      </c>
      <c r="G429" s="33">
        <v>3</v>
      </c>
      <c r="H429" s="7">
        <v>0</v>
      </c>
      <c r="I429" s="7"/>
      <c r="J429" t="s">
        <v>52</v>
      </c>
      <c r="L429" t="s">
        <v>28</v>
      </c>
    </row>
    <row r="430" spans="2:12">
      <c r="B430" t="s">
        <v>1</v>
      </c>
      <c r="C430" s="5" t="s">
        <v>59</v>
      </c>
      <c r="D430" s="1" t="s">
        <v>62</v>
      </c>
      <c r="E430" s="7">
        <v>310</v>
      </c>
      <c r="F430">
        <v>2</v>
      </c>
      <c r="G430" s="33">
        <v>2</v>
      </c>
      <c r="H430" s="7">
        <v>1</v>
      </c>
      <c r="I430" s="7"/>
      <c r="J430" t="s">
        <v>19</v>
      </c>
      <c r="K430" t="s">
        <v>20</v>
      </c>
      <c r="L430" t="s">
        <v>26</v>
      </c>
    </row>
    <row r="431" spans="2:12">
      <c r="D431" t="s">
        <v>62</v>
      </c>
      <c r="E431">
        <v>320</v>
      </c>
      <c r="F431">
        <v>1</v>
      </c>
      <c r="H431">
        <v>1</v>
      </c>
      <c r="J431" t="s">
        <v>19</v>
      </c>
      <c r="K431" t="s">
        <v>34</v>
      </c>
      <c r="L431" t="s">
        <v>26</v>
      </c>
    </row>
    <row r="432" spans="2:12">
      <c r="D432" t="s">
        <v>62</v>
      </c>
      <c r="E432">
        <v>320</v>
      </c>
      <c r="F432">
        <v>2</v>
      </c>
      <c r="H432">
        <v>0</v>
      </c>
      <c r="J432" t="s">
        <v>53</v>
      </c>
      <c r="L432" t="s">
        <v>28</v>
      </c>
    </row>
    <row r="433" spans="2:12">
      <c r="D433" t="s">
        <v>62</v>
      </c>
      <c r="E433">
        <v>330</v>
      </c>
      <c r="F433">
        <v>1</v>
      </c>
      <c r="H433">
        <v>1</v>
      </c>
      <c r="J433" t="s">
        <v>19</v>
      </c>
      <c r="K433" t="s">
        <v>34</v>
      </c>
      <c r="L433" t="s">
        <v>26</v>
      </c>
    </row>
    <row r="434" spans="2:12">
      <c r="D434" t="s">
        <v>62</v>
      </c>
      <c r="E434">
        <v>330</v>
      </c>
      <c r="F434">
        <v>2</v>
      </c>
      <c r="H434">
        <v>1</v>
      </c>
      <c r="J434" t="s">
        <v>53</v>
      </c>
      <c r="K434" t="s">
        <v>34</v>
      </c>
      <c r="L434" t="s">
        <v>28</v>
      </c>
    </row>
    <row r="435" spans="2:12">
      <c r="B435" t="s">
        <v>1</v>
      </c>
      <c r="C435" s="4" t="s">
        <v>64</v>
      </c>
      <c r="D435" t="s">
        <v>65</v>
      </c>
      <c r="E435">
        <v>0</v>
      </c>
      <c r="F435">
        <v>1</v>
      </c>
      <c r="G435" s="33">
        <v>1</v>
      </c>
      <c r="H435">
        <v>1</v>
      </c>
      <c r="J435" t="s">
        <v>19</v>
      </c>
      <c r="K435" t="s">
        <v>20</v>
      </c>
      <c r="L435" t="s">
        <v>26</v>
      </c>
    </row>
    <row r="436" spans="2:12">
      <c r="B436" t="s">
        <v>1</v>
      </c>
      <c r="C436" s="4" t="s">
        <v>64</v>
      </c>
      <c r="D436" t="s">
        <v>65</v>
      </c>
      <c r="E436">
        <v>0</v>
      </c>
      <c r="F436">
        <v>2</v>
      </c>
      <c r="G436" s="33">
        <v>1</v>
      </c>
      <c r="H436">
        <v>1</v>
      </c>
      <c r="J436" t="s">
        <v>42</v>
      </c>
      <c r="K436" t="s">
        <v>20</v>
      </c>
      <c r="L436" t="s">
        <v>26</v>
      </c>
    </row>
    <row r="437" spans="2:12">
      <c r="B437" t="s">
        <v>1</v>
      </c>
      <c r="C437" s="4" t="s">
        <v>64</v>
      </c>
      <c r="D437" t="s">
        <v>65</v>
      </c>
      <c r="E437">
        <v>0</v>
      </c>
      <c r="F437">
        <v>3</v>
      </c>
      <c r="G437" s="33">
        <v>1</v>
      </c>
      <c r="H437">
        <v>1</v>
      </c>
      <c r="J437" t="s">
        <v>52</v>
      </c>
      <c r="K437" t="s">
        <v>37</v>
      </c>
      <c r="L437" t="s">
        <v>28</v>
      </c>
    </row>
    <row r="438" spans="2:12">
      <c r="B438" t="s">
        <v>1</v>
      </c>
      <c r="C438" s="4" t="s">
        <v>64</v>
      </c>
      <c r="D438" t="s">
        <v>65</v>
      </c>
      <c r="E438">
        <v>10</v>
      </c>
      <c r="F438">
        <v>1</v>
      </c>
      <c r="G438" s="32">
        <v>1</v>
      </c>
      <c r="H438">
        <v>1</v>
      </c>
      <c r="J438" t="s">
        <v>19</v>
      </c>
      <c r="K438" t="s">
        <v>20</v>
      </c>
      <c r="L438" t="s">
        <v>26</v>
      </c>
    </row>
    <row r="439" spans="2:12">
      <c r="B439" t="s">
        <v>1</v>
      </c>
      <c r="C439" s="4" t="s">
        <v>64</v>
      </c>
      <c r="D439" t="s">
        <v>65</v>
      </c>
      <c r="E439">
        <v>10</v>
      </c>
      <c r="F439">
        <v>2</v>
      </c>
      <c r="G439" s="32">
        <v>3</v>
      </c>
      <c r="H439">
        <v>0</v>
      </c>
      <c r="J439" t="s">
        <v>42</v>
      </c>
      <c r="L439" t="s">
        <v>26</v>
      </c>
    </row>
    <row r="440" spans="2:12">
      <c r="B440" t="s">
        <v>1</v>
      </c>
      <c r="C440" s="4" t="s">
        <v>64</v>
      </c>
      <c r="D440" t="s">
        <v>65</v>
      </c>
      <c r="E440">
        <v>10</v>
      </c>
      <c r="F440">
        <v>3</v>
      </c>
      <c r="G440" s="32">
        <v>0</v>
      </c>
      <c r="H440">
        <v>0</v>
      </c>
      <c r="J440" t="s">
        <v>52</v>
      </c>
      <c r="L440" t="s">
        <v>28</v>
      </c>
    </row>
    <row r="441" spans="2:12">
      <c r="B441" t="s">
        <v>1</v>
      </c>
      <c r="C441" s="4" t="s">
        <v>64</v>
      </c>
      <c r="D441" t="s">
        <v>65</v>
      </c>
      <c r="E441">
        <v>20</v>
      </c>
      <c r="F441">
        <v>1</v>
      </c>
      <c r="G441" s="32">
        <v>1</v>
      </c>
      <c r="H441">
        <v>1</v>
      </c>
      <c r="J441" t="s">
        <v>19</v>
      </c>
      <c r="K441" t="s">
        <v>20</v>
      </c>
      <c r="L441" t="s">
        <v>26</v>
      </c>
    </row>
    <row r="442" spans="2:12">
      <c r="B442" t="s">
        <v>1</v>
      </c>
      <c r="C442" s="4" t="s">
        <v>64</v>
      </c>
      <c r="D442" t="s">
        <v>65</v>
      </c>
      <c r="E442">
        <v>20</v>
      </c>
      <c r="F442">
        <v>2</v>
      </c>
      <c r="G442" s="32">
        <v>0</v>
      </c>
      <c r="H442">
        <v>0</v>
      </c>
      <c r="J442" t="s">
        <v>42</v>
      </c>
      <c r="L442" t="s">
        <v>26</v>
      </c>
    </row>
    <row r="443" spans="2:12">
      <c r="B443" t="s">
        <v>1</v>
      </c>
      <c r="C443" s="4" t="s">
        <v>64</v>
      </c>
      <c r="D443" t="s">
        <v>65</v>
      </c>
      <c r="E443">
        <v>20</v>
      </c>
      <c r="F443">
        <v>3</v>
      </c>
      <c r="G443" s="32">
        <v>2</v>
      </c>
      <c r="H443">
        <v>1</v>
      </c>
      <c r="J443" t="s">
        <v>52</v>
      </c>
      <c r="K443" t="s">
        <v>37</v>
      </c>
      <c r="L443" t="s">
        <v>28</v>
      </c>
    </row>
    <row r="444" spans="2:12">
      <c r="B444" t="s">
        <v>1</v>
      </c>
      <c r="C444" s="4" t="s">
        <v>64</v>
      </c>
      <c r="D444" t="s">
        <v>65</v>
      </c>
      <c r="E444">
        <v>30</v>
      </c>
      <c r="F444">
        <v>1</v>
      </c>
      <c r="G444" s="32">
        <v>0</v>
      </c>
      <c r="H444">
        <v>0</v>
      </c>
      <c r="J444" t="s">
        <v>19</v>
      </c>
      <c r="L444" t="s">
        <v>26</v>
      </c>
    </row>
    <row r="445" spans="2:12">
      <c r="B445" t="s">
        <v>1</v>
      </c>
      <c r="C445" s="4" t="s">
        <v>64</v>
      </c>
      <c r="D445" t="s">
        <v>65</v>
      </c>
      <c r="E445">
        <v>30</v>
      </c>
      <c r="F445">
        <v>2</v>
      </c>
      <c r="G445" s="32">
        <v>1</v>
      </c>
      <c r="H445">
        <v>1</v>
      </c>
      <c r="J445" t="s">
        <v>52</v>
      </c>
      <c r="L445" t="s">
        <v>28</v>
      </c>
    </row>
    <row r="446" spans="2:12">
      <c r="B446" t="s">
        <v>1</v>
      </c>
      <c r="C446" s="4" t="s">
        <v>64</v>
      </c>
      <c r="D446" t="s">
        <v>65</v>
      </c>
      <c r="E446">
        <v>40</v>
      </c>
      <c r="F446">
        <v>1</v>
      </c>
      <c r="G446" s="32">
        <v>2</v>
      </c>
      <c r="H446">
        <v>1</v>
      </c>
      <c r="J446" t="s">
        <v>19</v>
      </c>
      <c r="K446" t="s">
        <v>20</v>
      </c>
      <c r="L446" t="s">
        <v>26</v>
      </c>
    </row>
    <row r="447" spans="2:12">
      <c r="B447" t="s">
        <v>1</v>
      </c>
      <c r="C447" s="4" t="s">
        <v>64</v>
      </c>
      <c r="D447" t="s">
        <v>65</v>
      </c>
      <c r="E447">
        <v>40</v>
      </c>
      <c r="F447">
        <v>2</v>
      </c>
      <c r="G447" s="32">
        <v>2</v>
      </c>
      <c r="H447">
        <v>1</v>
      </c>
      <c r="J447" t="s">
        <v>42</v>
      </c>
      <c r="K447" t="s">
        <v>20</v>
      </c>
      <c r="L447" t="s">
        <v>26</v>
      </c>
    </row>
    <row r="448" spans="2:12">
      <c r="B448" t="s">
        <v>1</v>
      </c>
      <c r="C448" s="4" t="s">
        <v>64</v>
      </c>
      <c r="D448" t="s">
        <v>65</v>
      </c>
      <c r="E448">
        <v>40</v>
      </c>
      <c r="F448">
        <v>3</v>
      </c>
      <c r="G448" s="32">
        <v>3</v>
      </c>
      <c r="H448">
        <v>0</v>
      </c>
      <c r="J448" t="s">
        <v>52</v>
      </c>
      <c r="L448" t="s">
        <v>28</v>
      </c>
    </row>
    <row r="449" spans="2:12">
      <c r="B449" t="s">
        <v>1</v>
      </c>
      <c r="C449" s="4" t="s">
        <v>64</v>
      </c>
      <c r="D449" t="s">
        <v>65</v>
      </c>
      <c r="E449">
        <v>50</v>
      </c>
      <c r="F449">
        <v>1</v>
      </c>
      <c r="G449" s="32">
        <v>2</v>
      </c>
      <c r="H449">
        <v>1</v>
      </c>
      <c r="J449" t="s">
        <v>19</v>
      </c>
      <c r="K449" t="s">
        <v>20</v>
      </c>
      <c r="L449" t="s">
        <v>26</v>
      </c>
    </row>
    <row r="450" spans="2:12">
      <c r="B450" t="s">
        <v>1</v>
      </c>
      <c r="C450" s="4" t="s">
        <v>64</v>
      </c>
      <c r="D450" t="s">
        <v>65</v>
      </c>
      <c r="E450">
        <v>50</v>
      </c>
      <c r="F450">
        <v>2</v>
      </c>
      <c r="G450" s="32">
        <v>1</v>
      </c>
      <c r="H450">
        <v>1</v>
      </c>
      <c r="J450" t="s">
        <v>52</v>
      </c>
      <c r="K450" t="s">
        <v>37</v>
      </c>
      <c r="L450" t="s">
        <v>28</v>
      </c>
    </row>
    <row r="451" spans="2:12">
      <c r="B451" t="s">
        <v>1</v>
      </c>
      <c r="C451" s="4" t="s">
        <v>64</v>
      </c>
      <c r="D451" t="s">
        <v>65</v>
      </c>
      <c r="E451">
        <v>60</v>
      </c>
      <c r="F451">
        <v>1</v>
      </c>
      <c r="G451" s="32">
        <v>3</v>
      </c>
      <c r="H451">
        <v>0</v>
      </c>
      <c r="J451" t="s">
        <v>52</v>
      </c>
      <c r="L451" t="s">
        <v>28</v>
      </c>
    </row>
    <row r="452" spans="2:12">
      <c r="B452" t="s">
        <v>1</v>
      </c>
      <c r="C452" s="4" t="s">
        <v>64</v>
      </c>
      <c r="D452" t="s">
        <v>65</v>
      </c>
      <c r="E452">
        <v>70</v>
      </c>
      <c r="F452">
        <v>1</v>
      </c>
      <c r="G452" s="32">
        <v>1</v>
      </c>
      <c r="H452">
        <v>1</v>
      </c>
      <c r="J452" t="s">
        <v>52</v>
      </c>
      <c r="K452" t="s">
        <v>37</v>
      </c>
      <c r="L452" t="s">
        <v>28</v>
      </c>
    </row>
    <row r="453" spans="2:12">
      <c r="B453" t="s">
        <v>1</v>
      </c>
      <c r="C453" s="4" t="s">
        <v>64</v>
      </c>
      <c r="D453" t="s">
        <v>65</v>
      </c>
      <c r="E453">
        <v>80</v>
      </c>
      <c r="F453">
        <v>1</v>
      </c>
      <c r="G453" s="32">
        <v>1</v>
      </c>
      <c r="H453">
        <v>1</v>
      </c>
      <c r="J453" t="s">
        <v>52</v>
      </c>
      <c r="K453" t="s">
        <v>37</v>
      </c>
      <c r="L453" t="s">
        <v>28</v>
      </c>
    </row>
    <row r="454" spans="2:12">
      <c r="B454" t="s">
        <v>1</v>
      </c>
      <c r="C454" s="4" t="s">
        <v>64</v>
      </c>
      <c r="D454" t="s">
        <v>65</v>
      </c>
      <c r="E454">
        <v>90</v>
      </c>
      <c r="F454">
        <v>1</v>
      </c>
      <c r="G454" s="32">
        <v>3</v>
      </c>
      <c r="H454">
        <v>0</v>
      </c>
      <c r="J454" t="s">
        <v>52</v>
      </c>
      <c r="L454" t="s">
        <v>28</v>
      </c>
    </row>
    <row r="455" spans="2:12">
      <c r="B455" t="s">
        <v>1</v>
      </c>
      <c r="C455" s="4" t="s">
        <v>64</v>
      </c>
      <c r="D455" t="s">
        <v>65</v>
      </c>
      <c r="E455">
        <v>100</v>
      </c>
      <c r="F455">
        <v>1</v>
      </c>
      <c r="G455" s="32">
        <v>1</v>
      </c>
      <c r="H455">
        <v>1</v>
      </c>
      <c r="J455" t="s">
        <v>52</v>
      </c>
      <c r="K455" t="s">
        <v>37</v>
      </c>
      <c r="L455" t="s">
        <v>28</v>
      </c>
    </row>
    <row r="456" spans="2:12">
      <c r="B456" t="s">
        <v>1</v>
      </c>
      <c r="C456" s="4" t="s">
        <v>64</v>
      </c>
      <c r="D456" t="s">
        <v>65</v>
      </c>
      <c r="E456">
        <v>100</v>
      </c>
      <c r="F456">
        <v>2</v>
      </c>
      <c r="G456" s="32">
        <v>1</v>
      </c>
      <c r="H456">
        <v>1</v>
      </c>
      <c r="J456" t="s">
        <v>19</v>
      </c>
      <c r="K456" t="s">
        <v>20</v>
      </c>
      <c r="L456" t="s">
        <v>26</v>
      </c>
    </row>
    <row r="457" spans="2:12">
      <c r="B457" t="s">
        <v>1</v>
      </c>
      <c r="C457" s="4" t="s">
        <v>64</v>
      </c>
      <c r="D457" t="s">
        <v>65</v>
      </c>
      <c r="E457">
        <v>110</v>
      </c>
      <c r="F457">
        <v>1</v>
      </c>
      <c r="G457" s="32">
        <v>1</v>
      </c>
      <c r="H457">
        <v>1</v>
      </c>
      <c r="J457" t="s">
        <v>52</v>
      </c>
      <c r="K457" t="s">
        <v>37</v>
      </c>
      <c r="L457" t="s">
        <v>28</v>
      </c>
    </row>
    <row r="458" spans="2:12">
      <c r="B458" t="s">
        <v>1</v>
      </c>
      <c r="C458" s="4" t="s">
        <v>64</v>
      </c>
      <c r="D458" t="s">
        <v>65</v>
      </c>
      <c r="E458">
        <v>110</v>
      </c>
      <c r="F458">
        <v>2</v>
      </c>
      <c r="G458" s="32">
        <v>2</v>
      </c>
      <c r="H458">
        <v>1</v>
      </c>
      <c r="J458" t="s">
        <v>19</v>
      </c>
      <c r="K458" t="s">
        <v>20</v>
      </c>
      <c r="L458" t="s">
        <v>26</v>
      </c>
    </row>
    <row r="459" spans="2:12">
      <c r="B459" t="s">
        <v>1</v>
      </c>
      <c r="C459" s="4" t="s">
        <v>64</v>
      </c>
      <c r="D459" t="s">
        <v>65</v>
      </c>
      <c r="E459">
        <v>120</v>
      </c>
      <c r="F459">
        <v>1</v>
      </c>
      <c r="G459" s="32">
        <v>3</v>
      </c>
      <c r="H459">
        <v>0</v>
      </c>
      <c r="J459" t="s">
        <v>52</v>
      </c>
      <c r="L459" t="s">
        <v>28</v>
      </c>
    </row>
    <row r="460" spans="2:12">
      <c r="B460" t="s">
        <v>1</v>
      </c>
      <c r="C460" s="4" t="s">
        <v>64</v>
      </c>
      <c r="D460" t="s">
        <v>65</v>
      </c>
      <c r="E460">
        <v>130</v>
      </c>
      <c r="F460">
        <v>1</v>
      </c>
      <c r="G460" s="32">
        <v>1</v>
      </c>
      <c r="H460">
        <v>1</v>
      </c>
      <c r="J460" t="s">
        <v>52</v>
      </c>
      <c r="K460" t="s">
        <v>37</v>
      </c>
      <c r="L460" t="s">
        <v>28</v>
      </c>
    </row>
    <row r="461" spans="2:12">
      <c r="B461" t="s">
        <v>1</v>
      </c>
      <c r="C461" s="4" t="s">
        <v>64</v>
      </c>
      <c r="D461" t="s">
        <v>65</v>
      </c>
      <c r="E461">
        <v>140</v>
      </c>
      <c r="F461">
        <v>1</v>
      </c>
      <c r="G461" s="32">
        <v>1</v>
      </c>
      <c r="H461">
        <v>1</v>
      </c>
      <c r="J461" t="s">
        <v>52</v>
      </c>
      <c r="K461" t="s">
        <v>37</v>
      </c>
      <c r="L461" t="s">
        <v>28</v>
      </c>
    </row>
    <row r="462" spans="2:12">
      <c r="B462" t="s">
        <v>1</v>
      </c>
      <c r="C462" s="4" t="s">
        <v>64</v>
      </c>
      <c r="D462" t="s">
        <v>65</v>
      </c>
      <c r="E462">
        <v>150</v>
      </c>
      <c r="F462">
        <v>1</v>
      </c>
      <c r="G462" s="32">
        <v>3</v>
      </c>
      <c r="H462">
        <v>0</v>
      </c>
      <c r="J462" t="s">
        <v>52</v>
      </c>
      <c r="L462" t="s">
        <v>28</v>
      </c>
    </row>
    <row r="463" spans="2:12">
      <c r="B463" t="s">
        <v>1</v>
      </c>
      <c r="C463" s="4" t="s">
        <v>64</v>
      </c>
      <c r="D463" t="s">
        <v>65</v>
      </c>
      <c r="E463">
        <v>150</v>
      </c>
      <c r="F463">
        <v>2</v>
      </c>
      <c r="G463" s="32">
        <v>1</v>
      </c>
      <c r="H463">
        <v>1</v>
      </c>
      <c r="J463" t="s">
        <v>19</v>
      </c>
      <c r="K463" t="s">
        <v>20</v>
      </c>
      <c r="L463" t="s">
        <v>26</v>
      </c>
    </row>
    <row r="464" spans="2:12">
      <c r="D464" s="34" t="s">
        <v>65</v>
      </c>
      <c r="E464">
        <v>160</v>
      </c>
      <c r="F464">
        <v>1</v>
      </c>
      <c r="H464">
        <v>0</v>
      </c>
      <c r="J464" t="s">
        <v>19</v>
      </c>
      <c r="L464" t="s">
        <v>26</v>
      </c>
    </row>
    <row r="465" spans="2:12">
      <c r="B465" t="s">
        <v>1</v>
      </c>
      <c r="C465" s="4" t="s">
        <v>64</v>
      </c>
      <c r="D465" t="s">
        <v>65</v>
      </c>
      <c r="E465">
        <v>170</v>
      </c>
      <c r="F465">
        <v>1</v>
      </c>
      <c r="G465" s="32">
        <v>1</v>
      </c>
      <c r="H465">
        <v>1</v>
      </c>
      <c r="J465" t="s">
        <v>52</v>
      </c>
      <c r="K465" t="s">
        <v>37</v>
      </c>
      <c r="L465" t="s">
        <v>28</v>
      </c>
    </row>
    <row r="466" spans="2:12">
      <c r="B466" t="s">
        <v>1</v>
      </c>
      <c r="C466" s="4" t="s">
        <v>64</v>
      </c>
      <c r="D466" t="s">
        <v>65</v>
      </c>
      <c r="E466">
        <v>180</v>
      </c>
      <c r="F466">
        <v>1</v>
      </c>
      <c r="G466" s="32">
        <v>1</v>
      </c>
      <c r="H466">
        <v>1</v>
      </c>
      <c r="J466" t="s">
        <v>52</v>
      </c>
      <c r="K466" t="s">
        <v>37</v>
      </c>
      <c r="L466" t="s">
        <v>28</v>
      </c>
    </row>
    <row r="467" spans="2:12">
      <c r="B467" t="s">
        <v>1</v>
      </c>
      <c r="C467" s="4" t="s">
        <v>64</v>
      </c>
      <c r="D467" t="s">
        <v>65</v>
      </c>
      <c r="E467">
        <v>180</v>
      </c>
      <c r="F467">
        <v>2</v>
      </c>
      <c r="G467" s="32">
        <v>2</v>
      </c>
      <c r="H467">
        <v>1</v>
      </c>
      <c r="J467" t="s">
        <v>19</v>
      </c>
      <c r="K467" t="s">
        <v>20</v>
      </c>
      <c r="L467" t="s">
        <v>26</v>
      </c>
    </row>
    <row r="468" spans="2:12">
      <c r="B468" t="s">
        <v>1</v>
      </c>
      <c r="C468" s="4" t="s">
        <v>64</v>
      </c>
      <c r="D468" t="s">
        <v>65</v>
      </c>
      <c r="E468">
        <v>190</v>
      </c>
      <c r="F468">
        <v>1</v>
      </c>
      <c r="G468" s="32">
        <v>1</v>
      </c>
      <c r="H468">
        <v>1</v>
      </c>
      <c r="J468" t="s">
        <v>52</v>
      </c>
      <c r="K468" t="s">
        <v>37</v>
      </c>
      <c r="L468" t="s">
        <v>28</v>
      </c>
    </row>
    <row r="469" spans="2:12">
      <c r="B469" t="s">
        <v>1</v>
      </c>
      <c r="C469" s="4" t="s">
        <v>64</v>
      </c>
      <c r="D469" t="s">
        <v>65</v>
      </c>
      <c r="E469">
        <v>200</v>
      </c>
      <c r="F469">
        <v>1</v>
      </c>
      <c r="G469" s="32">
        <v>1</v>
      </c>
      <c r="H469">
        <v>1</v>
      </c>
      <c r="J469" t="s">
        <v>52</v>
      </c>
      <c r="K469" t="s">
        <v>37</v>
      </c>
      <c r="L469" t="s">
        <v>28</v>
      </c>
    </row>
    <row r="470" spans="2:12">
      <c r="B470" t="s">
        <v>1</v>
      </c>
      <c r="C470" s="4" t="s">
        <v>64</v>
      </c>
      <c r="D470" t="s">
        <v>65</v>
      </c>
      <c r="E470">
        <v>210</v>
      </c>
      <c r="F470">
        <v>1</v>
      </c>
      <c r="G470" s="32">
        <v>1</v>
      </c>
      <c r="H470">
        <v>1</v>
      </c>
      <c r="J470" t="s">
        <v>52</v>
      </c>
      <c r="K470" t="s">
        <v>37</v>
      </c>
      <c r="L470" t="s">
        <v>28</v>
      </c>
    </row>
    <row r="471" spans="2:12">
      <c r="B471" t="s">
        <v>1</v>
      </c>
      <c r="C471" s="4" t="s">
        <v>64</v>
      </c>
      <c r="D471" t="s">
        <v>65</v>
      </c>
      <c r="E471">
        <v>210</v>
      </c>
      <c r="F471">
        <v>2</v>
      </c>
      <c r="G471" s="32">
        <v>2</v>
      </c>
      <c r="H471">
        <v>1</v>
      </c>
      <c r="J471" t="s">
        <v>19</v>
      </c>
      <c r="K471" t="s">
        <v>20</v>
      </c>
      <c r="L471" t="s">
        <v>26</v>
      </c>
    </row>
    <row r="472" spans="2:12">
      <c r="B472" t="s">
        <v>1</v>
      </c>
      <c r="C472" s="4" t="s">
        <v>64</v>
      </c>
      <c r="D472" t="s">
        <v>65</v>
      </c>
      <c r="E472">
        <v>220</v>
      </c>
      <c r="F472">
        <v>1</v>
      </c>
      <c r="G472" s="32">
        <v>1</v>
      </c>
      <c r="H472">
        <v>1</v>
      </c>
      <c r="J472" t="s">
        <v>19</v>
      </c>
      <c r="K472" t="s">
        <v>20</v>
      </c>
      <c r="L472" t="s">
        <v>26</v>
      </c>
    </row>
    <row r="473" spans="2:12">
      <c r="B473" t="s">
        <v>1</v>
      </c>
      <c r="C473" s="4" t="s">
        <v>64</v>
      </c>
      <c r="D473" t="s">
        <v>65</v>
      </c>
      <c r="E473">
        <v>220</v>
      </c>
      <c r="F473">
        <v>2</v>
      </c>
      <c r="G473" s="32">
        <v>0</v>
      </c>
      <c r="H473">
        <v>0</v>
      </c>
      <c r="J473" t="s">
        <v>52</v>
      </c>
      <c r="L473" t="s">
        <v>28</v>
      </c>
    </row>
    <row r="474" spans="2:12">
      <c r="D474" s="34" t="s">
        <v>65</v>
      </c>
      <c r="E474">
        <v>230</v>
      </c>
      <c r="F474">
        <v>1</v>
      </c>
      <c r="H474">
        <v>0</v>
      </c>
      <c r="J474" t="s">
        <v>53</v>
      </c>
      <c r="L474" t="s">
        <v>28</v>
      </c>
    </row>
    <row r="475" spans="2:12">
      <c r="B475" t="s">
        <v>1</v>
      </c>
      <c r="C475" s="4" t="s">
        <v>64</v>
      </c>
      <c r="D475" t="s">
        <v>65</v>
      </c>
      <c r="E475">
        <v>240</v>
      </c>
      <c r="F475">
        <v>1</v>
      </c>
      <c r="G475" s="32">
        <v>1</v>
      </c>
      <c r="H475">
        <v>1</v>
      </c>
      <c r="J475" t="s">
        <v>19</v>
      </c>
      <c r="K475" t="s">
        <v>20</v>
      </c>
      <c r="L475" t="s">
        <v>26</v>
      </c>
    </row>
    <row r="476" spans="2:12">
      <c r="B476" t="s">
        <v>1</v>
      </c>
      <c r="C476" s="4" t="s">
        <v>64</v>
      </c>
      <c r="D476" t="s">
        <v>65</v>
      </c>
      <c r="E476">
        <v>240</v>
      </c>
      <c r="F476">
        <v>2</v>
      </c>
      <c r="G476" s="32">
        <v>1</v>
      </c>
      <c r="H476">
        <v>1</v>
      </c>
      <c r="J476" t="s">
        <v>52</v>
      </c>
      <c r="K476" t="s">
        <v>33</v>
      </c>
      <c r="L476" t="s">
        <v>28</v>
      </c>
    </row>
    <row r="477" spans="2:12">
      <c r="B477" t="s">
        <v>1</v>
      </c>
      <c r="C477" s="4" t="s">
        <v>64</v>
      </c>
      <c r="D477" t="s">
        <v>65</v>
      </c>
      <c r="E477">
        <v>250</v>
      </c>
      <c r="F477">
        <v>1</v>
      </c>
      <c r="G477" s="32">
        <v>1</v>
      </c>
      <c r="H477">
        <v>1</v>
      </c>
      <c r="J477" t="s">
        <v>19</v>
      </c>
      <c r="K477" t="s">
        <v>20</v>
      </c>
      <c r="L477" t="s">
        <v>26</v>
      </c>
    </row>
    <row r="478" spans="2:12">
      <c r="B478" t="s">
        <v>1</v>
      </c>
      <c r="C478" s="4" t="s">
        <v>64</v>
      </c>
      <c r="D478" t="s">
        <v>65</v>
      </c>
      <c r="E478">
        <v>250</v>
      </c>
      <c r="F478">
        <v>2</v>
      </c>
      <c r="G478" s="32">
        <v>2</v>
      </c>
      <c r="H478">
        <v>1</v>
      </c>
      <c r="J478" t="s">
        <v>52</v>
      </c>
      <c r="K478" t="s">
        <v>37</v>
      </c>
      <c r="L478" t="s">
        <v>28</v>
      </c>
    </row>
    <row r="479" spans="2:12">
      <c r="B479" t="s">
        <v>1</v>
      </c>
      <c r="C479" s="4" t="s">
        <v>64</v>
      </c>
      <c r="D479" t="s">
        <v>65</v>
      </c>
      <c r="E479">
        <v>260</v>
      </c>
      <c r="F479">
        <v>1</v>
      </c>
      <c r="G479" s="32">
        <v>1</v>
      </c>
      <c r="H479">
        <v>1</v>
      </c>
      <c r="J479" t="s">
        <v>19</v>
      </c>
      <c r="K479" t="s">
        <v>20</v>
      </c>
      <c r="L479" t="s">
        <v>26</v>
      </c>
    </row>
    <row r="480" spans="2:12">
      <c r="B480" t="s">
        <v>1</v>
      </c>
      <c r="C480" s="4" t="s">
        <v>64</v>
      </c>
      <c r="D480" t="s">
        <v>65</v>
      </c>
      <c r="E480">
        <v>260</v>
      </c>
      <c r="F480">
        <v>2</v>
      </c>
      <c r="G480" s="32">
        <v>1</v>
      </c>
      <c r="H480">
        <v>1</v>
      </c>
      <c r="J480" t="s">
        <v>52</v>
      </c>
      <c r="K480" t="s">
        <v>37</v>
      </c>
      <c r="L480" t="s">
        <v>28</v>
      </c>
    </row>
    <row r="481" spans="2:12">
      <c r="B481" t="s">
        <v>1</v>
      </c>
      <c r="C481" s="4" t="s">
        <v>64</v>
      </c>
      <c r="D481" t="s">
        <v>65</v>
      </c>
      <c r="E481">
        <v>270</v>
      </c>
      <c r="F481">
        <v>1</v>
      </c>
      <c r="G481" s="32">
        <v>1</v>
      </c>
      <c r="H481">
        <v>1</v>
      </c>
      <c r="J481" t="s">
        <v>19</v>
      </c>
      <c r="K481" t="s">
        <v>20</v>
      </c>
      <c r="L481" t="s">
        <v>26</v>
      </c>
    </row>
    <row r="482" spans="2:12">
      <c r="B482" t="s">
        <v>1</v>
      </c>
      <c r="C482" s="4" t="s">
        <v>64</v>
      </c>
      <c r="D482" t="s">
        <v>65</v>
      </c>
      <c r="E482">
        <v>270</v>
      </c>
      <c r="F482">
        <v>2</v>
      </c>
      <c r="G482" s="32">
        <v>0</v>
      </c>
      <c r="H482">
        <v>0</v>
      </c>
      <c r="J482" t="s">
        <v>52</v>
      </c>
      <c r="L482" t="s">
        <v>28</v>
      </c>
    </row>
    <row r="483" spans="2:12">
      <c r="B483" t="s">
        <v>1</v>
      </c>
      <c r="C483" s="4" t="s">
        <v>64</v>
      </c>
      <c r="D483" t="s">
        <v>65</v>
      </c>
      <c r="E483">
        <v>280</v>
      </c>
      <c r="F483">
        <v>1</v>
      </c>
      <c r="G483" s="32">
        <v>1</v>
      </c>
      <c r="H483">
        <v>1</v>
      </c>
      <c r="J483" t="s">
        <v>19</v>
      </c>
      <c r="K483" t="s">
        <v>20</v>
      </c>
      <c r="L483" t="s">
        <v>26</v>
      </c>
    </row>
    <row r="484" spans="2:12">
      <c r="B484" t="s">
        <v>1</v>
      </c>
      <c r="C484" s="4" t="s">
        <v>64</v>
      </c>
      <c r="D484" t="s">
        <v>65</v>
      </c>
      <c r="E484">
        <v>280</v>
      </c>
      <c r="F484">
        <v>2</v>
      </c>
      <c r="G484" s="32">
        <v>1</v>
      </c>
      <c r="H484">
        <v>1</v>
      </c>
      <c r="J484" t="s">
        <v>42</v>
      </c>
      <c r="K484" t="s">
        <v>33</v>
      </c>
      <c r="L484" t="s">
        <v>26</v>
      </c>
    </row>
    <row r="485" spans="2:12">
      <c r="B485" t="s">
        <v>1</v>
      </c>
      <c r="C485" s="4" t="s">
        <v>64</v>
      </c>
      <c r="D485" t="s">
        <v>65</v>
      </c>
      <c r="E485">
        <v>290</v>
      </c>
      <c r="F485">
        <v>1</v>
      </c>
      <c r="G485" s="32">
        <v>1</v>
      </c>
      <c r="H485">
        <v>1</v>
      </c>
      <c r="J485" t="s">
        <v>19</v>
      </c>
      <c r="K485" t="s">
        <v>20</v>
      </c>
      <c r="L485" t="s">
        <v>26</v>
      </c>
    </row>
    <row r="486" spans="2:12">
      <c r="B486" t="s">
        <v>1</v>
      </c>
      <c r="C486" s="4" t="s">
        <v>64</v>
      </c>
      <c r="D486" t="s">
        <v>65</v>
      </c>
      <c r="E486">
        <v>290</v>
      </c>
      <c r="F486">
        <v>2</v>
      </c>
      <c r="G486" s="32">
        <v>1</v>
      </c>
      <c r="H486">
        <v>1</v>
      </c>
      <c r="J486" t="s">
        <v>42</v>
      </c>
      <c r="K486" t="s">
        <v>20</v>
      </c>
      <c r="L486" t="s">
        <v>26</v>
      </c>
    </row>
    <row r="487" spans="2:12">
      <c r="B487" t="s">
        <v>1</v>
      </c>
      <c r="C487" s="4" t="s">
        <v>64</v>
      </c>
      <c r="D487" t="s">
        <v>65</v>
      </c>
      <c r="E487">
        <v>290</v>
      </c>
      <c r="F487">
        <v>3</v>
      </c>
      <c r="G487" s="32">
        <v>0</v>
      </c>
      <c r="H487">
        <v>0</v>
      </c>
      <c r="J487" t="s">
        <v>52</v>
      </c>
      <c r="L487" t="s">
        <v>28</v>
      </c>
    </row>
    <row r="488" spans="2:12">
      <c r="B488" t="s">
        <v>1</v>
      </c>
      <c r="C488" s="4" t="s">
        <v>64</v>
      </c>
      <c r="D488" t="s">
        <v>65</v>
      </c>
      <c r="E488">
        <v>300</v>
      </c>
      <c r="F488">
        <v>1</v>
      </c>
      <c r="G488" s="32">
        <v>1</v>
      </c>
      <c r="H488">
        <v>1</v>
      </c>
      <c r="J488" t="s">
        <v>19</v>
      </c>
      <c r="K488" t="s">
        <v>20</v>
      </c>
      <c r="L488" t="s">
        <v>26</v>
      </c>
    </row>
    <row r="489" spans="2:12">
      <c r="B489" t="s">
        <v>1</v>
      </c>
      <c r="C489" s="4" t="s">
        <v>64</v>
      </c>
      <c r="D489" t="s">
        <v>65</v>
      </c>
      <c r="E489">
        <v>300</v>
      </c>
      <c r="F489">
        <v>2</v>
      </c>
      <c r="G489" s="32">
        <v>1</v>
      </c>
      <c r="H489">
        <v>1</v>
      </c>
      <c r="J489" t="s">
        <v>42</v>
      </c>
      <c r="K489" t="s">
        <v>20</v>
      </c>
      <c r="L489" t="s">
        <v>26</v>
      </c>
    </row>
    <row r="490" spans="2:12">
      <c r="B490" t="s">
        <v>1</v>
      </c>
      <c r="C490" s="4" t="s">
        <v>64</v>
      </c>
      <c r="D490" t="s">
        <v>65</v>
      </c>
      <c r="E490">
        <v>300</v>
      </c>
      <c r="F490">
        <v>3</v>
      </c>
      <c r="G490" s="32">
        <v>0</v>
      </c>
      <c r="H490">
        <v>0</v>
      </c>
      <c r="J490" t="s">
        <v>52</v>
      </c>
      <c r="L490" t="s">
        <v>28</v>
      </c>
    </row>
    <row r="491" spans="2:12">
      <c r="B491" t="s">
        <v>1</v>
      </c>
      <c r="C491" s="4" t="s">
        <v>64</v>
      </c>
      <c r="D491" t="s">
        <v>65</v>
      </c>
      <c r="E491">
        <v>310</v>
      </c>
      <c r="F491">
        <v>1</v>
      </c>
      <c r="G491" s="32">
        <v>1</v>
      </c>
      <c r="H491">
        <v>1</v>
      </c>
      <c r="J491" t="s">
        <v>19</v>
      </c>
      <c r="K491" t="s">
        <v>20</v>
      </c>
      <c r="L491" t="s">
        <v>26</v>
      </c>
    </row>
    <row r="492" spans="2:12">
      <c r="B492" t="s">
        <v>1</v>
      </c>
      <c r="C492" s="4" t="s">
        <v>64</v>
      </c>
      <c r="D492" t="s">
        <v>65</v>
      </c>
      <c r="E492">
        <v>310</v>
      </c>
      <c r="F492">
        <v>2</v>
      </c>
      <c r="G492" s="32">
        <v>1</v>
      </c>
      <c r="H492">
        <v>1</v>
      </c>
      <c r="J492" t="s">
        <v>42</v>
      </c>
      <c r="K492" t="s">
        <v>20</v>
      </c>
      <c r="L492" t="s">
        <v>26</v>
      </c>
    </row>
    <row r="493" spans="2:12">
      <c r="B493" t="s">
        <v>1</v>
      </c>
      <c r="C493" s="4" t="s">
        <v>64</v>
      </c>
      <c r="D493" t="s">
        <v>65</v>
      </c>
      <c r="E493">
        <v>310</v>
      </c>
      <c r="F493">
        <v>3</v>
      </c>
      <c r="G493" s="32">
        <v>1</v>
      </c>
      <c r="H493">
        <v>1</v>
      </c>
      <c r="J493" t="s">
        <v>52</v>
      </c>
      <c r="K493" t="s">
        <v>37</v>
      </c>
      <c r="L493" t="s">
        <v>28</v>
      </c>
    </row>
    <row r="494" spans="2:12">
      <c r="B494" t="s">
        <v>1</v>
      </c>
      <c r="C494" s="4" t="s">
        <v>64</v>
      </c>
      <c r="D494" t="s">
        <v>65</v>
      </c>
      <c r="E494">
        <v>320</v>
      </c>
      <c r="F494">
        <v>1</v>
      </c>
      <c r="G494" s="32">
        <v>1</v>
      </c>
      <c r="H494">
        <v>1</v>
      </c>
      <c r="J494" t="s">
        <v>19</v>
      </c>
      <c r="K494" t="s">
        <v>20</v>
      </c>
      <c r="L494" t="s">
        <v>26</v>
      </c>
    </row>
    <row r="495" spans="2:12">
      <c r="B495" t="s">
        <v>1</v>
      </c>
      <c r="C495" s="4" t="s">
        <v>64</v>
      </c>
      <c r="D495" t="s">
        <v>65</v>
      </c>
      <c r="E495">
        <v>320</v>
      </c>
      <c r="F495">
        <v>2</v>
      </c>
      <c r="G495" s="32">
        <v>1</v>
      </c>
      <c r="H495">
        <v>1</v>
      </c>
      <c r="J495" t="s">
        <v>42</v>
      </c>
      <c r="K495" t="s">
        <v>20</v>
      </c>
      <c r="L495" t="s">
        <v>26</v>
      </c>
    </row>
    <row r="496" spans="2:12">
      <c r="B496" t="s">
        <v>1</v>
      </c>
      <c r="C496" s="4" t="s">
        <v>64</v>
      </c>
      <c r="D496" t="s">
        <v>65</v>
      </c>
      <c r="E496">
        <v>320</v>
      </c>
      <c r="F496">
        <v>3</v>
      </c>
      <c r="G496" s="32">
        <v>1</v>
      </c>
      <c r="H496">
        <v>1</v>
      </c>
      <c r="J496" t="s">
        <v>52</v>
      </c>
      <c r="K496" t="s">
        <v>37</v>
      </c>
      <c r="L496" t="s">
        <v>28</v>
      </c>
    </row>
    <row r="497" spans="2:12">
      <c r="B497" t="s">
        <v>1</v>
      </c>
      <c r="C497" s="4" t="s">
        <v>64</v>
      </c>
      <c r="D497" t="s">
        <v>65</v>
      </c>
      <c r="E497">
        <v>330</v>
      </c>
      <c r="F497">
        <v>1</v>
      </c>
      <c r="G497" s="32">
        <v>1</v>
      </c>
      <c r="H497">
        <v>1</v>
      </c>
      <c r="J497" t="s">
        <v>19</v>
      </c>
      <c r="K497" t="s">
        <v>20</v>
      </c>
      <c r="L497" t="s">
        <v>26</v>
      </c>
    </row>
    <row r="498" spans="2:12">
      <c r="B498" t="s">
        <v>1</v>
      </c>
      <c r="C498" s="4" t="s">
        <v>64</v>
      </c>
      <c r="D498" t="s">
        <v>65</v>
      </c>
      <c r="E498">
        <v>330</v>
      </c>
      <c r="F498">
        <v>2</v>
      </c>
      <c r="G498" s="32">
        <v>1</v>
      </c>
      <c r="H498">
        <v>1</v>
      </c>
      <c r="J498" t="s">
        <v>19</v>
      </c>
      <c r="K498" t="s">
        <v>20</v>
      </c>
      <c r="L498" t="s">
        <v>26</v>
      </c>
    </row>
    <row r="499" spans="2:12">
      <c r="B499" t="s">
        <v>1</v>
      </c>
      <c r="C499" s="4" t="s">
        <v>64</v>
      </c>
      <c r="D499" t="s">
        <v>65</v>
      </c>
      <c r="E499">
        <v>330</v>
      </c>
      <c r="F499">
        <v>3</v>
      </c>
      <c r="G499" s="32">
        <v>1</v>
      </c>
      <c r="H499">
        <v>1</v>
      </c>
      <c r="J499" t="s">
        <v>52</v>
      </c>
      <c r="K499" t="s">
        <v>37</v>
      </c>
      <c r="L499" t="s">
        <v>28</v>
      </c>
    </row>
    <row r="500" spans="2:12">
      <c r="B500" t="s">
        <v>1</v>
      </c>
      <c r="C500" s="5" t="s">
        <v>64</v>
      </c>
      <c r="D500" s="1" t="s">
        <v>66</v>
      </c>
      <c r="E500">
        <v>0</v>
      </c>
      <c r="F500">
        <v>1</v>
      </c>
      <c r="G500" s="32">
        <v>1</v>
      </c>
      <c r="H500">
        <v>1</v>
      </c>
      <c r="J500" t="s">
        <v>19</v>
      </c>
      <c r="K500" t="s">
        <v>20</v>
      </c>
      <c r="L500" t="s">
        <v>26</v>
      </c>
    </row>
    <row r="501" spans="2:12">
      <c r="B501" t="s">
        <v>1</v>
      </c>
      <c r="C501" s="5" t="s">
        <v>64</v>
      </c>
      <c r="D501" s="1" t="s">
        <v>66</v>
      </c>
      <c r="E501">
        <v>0</v>
      </c>
      <c r="F501">
        <v>2</v>
      </c>
      <c r="G501" s="32">
        <v>1</v>
      </c>
      <c r="H501">
        <v>1</v>
      </c>
      <c r="J501" t="s">
        <v>42</v>
      </c>
      <c r="K501" t="s">
        <v>20</v>
      </c>
      <c r="L501" t="s">
        <v>26</v>
      </c>
    </row>
    <row r="502" spans="2:12">
      <c r="B502" t="s">
        <v>1</v>
      </c>
      <c r="C502" s="5" t="s">
        <v>64</v>
      </c>
      <c r="D502" s="1" t="s">
        <v>66</v>
      </c>
      <c r="E502">
        <v>0</v>
      </c>
      <c r="F502">
        <v>3</v>
      </c>
      <c r="G502" s="32">
        <v>1</v>
      </c>
      <c r="H502">
        <v>1</v>
      </c>
      <c r="J502" t="s">
        <v>52</v>
      </c>
      <c r="K502" t="s">
        <v>37</v>
      </c>
      <c r="L502" t="s">
        <v>28</v>
      </c>
    </row>
    <row r="503" spans="2:12">
      <c r="B503" t="s">
        <v>1</v>
      </c>
      <c r="C503" s="5" t="s">
        <v>64</v>
      </c>
      <c r="D503" s="1" t="s">
        <v>66</v>
      </c>
      <c r="E503">
        <v>10</v>
      </c>
      <c r="F503">
        <v>1</v>
      </c>
      <c r="G503" s="32">
        <v>1</v>
      </c>
      <c r="H503">
        <v>1</v>
      </c>
      <c r="J503" t="s">
        <v>19</v>
      </c>
      <c r="K503" t="s">
        <v>20</v>
      </c>
      <c r="L503" t="s">
        <v>26</v>
      </c>
    </row>
    <row r="504" spans="2:12">
      <c r="B504" t="s">
        <v>1</v>
      </c>
      <c r="C504" s="5" t="s">
        <v>64</v>
      </c>
      <c r="D504" s="1" t="s">
        <v>66</v>
      </c>
      <c r="E504">
        <v>10</v>
      </c>
      <c r="F504">
        <v>2</v>
      </c>
      <c r="G504" s="32">
        <v>1</v>
      </c>
      <c r="H504">
        <v>1</v>
      </c>
      <c r="J504" t="s">
        <v>52</v>
      </c>
      <c r="K504" t="s">
        <v>37</v>
      </c>
      <c r="L504" t="s">
        <v>28</v>
      </c>
    </row>
    <row r="505" spans="2:12">
      <c r="B505" t="s">
        <v>1</v>
      </c>
      <c r="C505" s="5" t="s">
        <v>64</v>
      </c>
      <c r="D505" s="1" t="s">
        <v>66</v>
      </c>
      <c r="E505">
        <v>10</v>
      </c>
      <c r="F505">
        <v>3</v>
      </c>
      <c r="G505" s="32">
        <v>1</v>
      </c>
      <c r="H505">
        <v>1</v>
      </c>
      <c r="J505" t="s">
        <v>42</v>
      </c>
      <c r="K505" t="s">
        <v>20</v>
      </c>
      <c r="L505" t="s">
        <v>26</v>
      </c>
    </row>
    <row r="506" spans="2:12">
      <c r="B506" t="s">
        <v>1</v>
      </c>
      <c r="C506" s="5" t="s">
        <v>64</v>
      </c>
      <c r="D506" s="1" t="s">
        <v>66</v>
      </c>
      <c r="E506">
        <v>20</v>
      </c>
      <c r="F506">
        <v>1</v>
      </c>
      <c r="G506" s="32">
        <v>1</v>
      </c>
      <c r="H506">
        <v>1</v>
      </c>
      <c r="J506" t="s">
        <v>19</v>
      </c>
      <c r="K506" t="s">
        <v>20</v>
      </c>
      <c r="L506" t="s">
        <v>26</v>
      </c>
    </row>
    <row r="507" spans="2:12">
      <c r="B507" t="s">
        <v>1</v>
      </c>
      <c r="C507" s="5" t="s">
        <v>64</v>
      </c>
      <c r="D507" s="1" t="s">
        <v>66</v>
      </c>
      <c r="E507">
        <v>20</v>
      </c>
      <c r="F507">
        <v>2</v>
      </c>
      <c r="G507" s="32">
        <v>0</v>
      </c>
      <c r="H507">
        <v>0</v>
      </c>
      <c r="J507" t="s">
        <v>52</v>
      </c>
      <c r="L507" t="s">
        <v>28</v>
      </c>
    </row>
    <row r="508" spans="2:12">
      <c r="B508" t="s">
        <v>1</v>
      </c>
      <c r="C508" s="5" t="s">
        <v>64</v>
      </c>
      <c r="D508" s="1" t="s">
        <v>66</v>
      </c>
      <c r="E508">
        <v>30</v>
      </c>
      <c r="F508">
        <v>1</v>
      </c>
      <c r="G508" s="32">
        <v>1</v>
      </c>
      <c r="H508">
        <v>1</v>
      </c>
      <c r="J508" t="s">
        <v>19</v>
      </c>
      <c r="K508" t="s">
        <v>20</v>
      </c>
      <c r="L508" t="s">
        <v>26</v>
      </c>
    </row>
    <row r="509" spans="2:12">
      <c r="B509" t="s">
        <v>1</v>
      </c>
      <c r="C509" s="5" t="s">
        <v>64</v>
      </c>
      <c r="D509" s="1" t="s">
        <v>66</v>
      </c>
      <c r="E509">
        <v>30</v>
      </c>
      <c r="F509">
        <v>2</v>
      </c>
      <c r="G509" s="32">
        <v>1</v>
      </c>
      <c r="H509">
        <v>1</v>
      </c>
      <c r="J509" t="s">
        <v>52</v>
      </c>
      <c r="K509" t="s">
        <v>37</v>
      </c>
      <c r="L509" t="s">
        <v>28</v>
      </c>
    </row>
    <row r="510" spans="2:12">
      <c r="B510" t="s">
        <v>1</v>
      </c>
      <c r="C510" s="5" t="s">
        <v>64</v>
      </c>
      <c r="D510" s="1" t="s">
        <v>66</v>
      </c>
      <c r="E510">
        <v>30</v>
      </c>
      <c r="F510">
        <v>3</v>
      </c>
      <c r="G510" s="32">
        <v>2</v>
      </c>
      <c r="H510">
        <v>1</v>
      </c>
      <c r="J510" t="s">
        <v>42</v>
      </c>
      <c r="K510" t="s">
        <v>20</v>
      </c>
      <c r="L510" t="s">
        <v>26</v>
      </c>
    </row>
    <row r="511" spans="2:12">
      <c r="B511" t="s">
        <v>1</v>
      </c>
      <c r="C511" s="5" t="s">
        <v>64</v>
      </c>
      <c r="D511" s="1" t="s">
        <v>66</v>
      </c>
      <c r="E511">
        <v>40</v>
      </c>
      <c r="F511">
        <v>1</v>
      </c>
      <c r="G511" s="32">
        <v>1</v>
      </c>
      <c r="H511">
        <v>1</v>
      </c>
      <c r="J511" t="s">
        <v>19</v>
      </c>
      <c r="K511" t="s">
        <v>20</v>
      </c>
      <c r="L511" t="s">
        <v>26</v>
      </c>
    </row>
    <row r="512" spans="2:12">
      <c r="B512" t="s">
        <v>1</v>
      </c>
      <c r="C512" s="5" t="s">
        <v>64</v>
      </c>
      <c r="D512" s="1" t="s">
        <v>66</v>
      </c>
      <c r="E512">
        <v>40</v>
      </c>
      <c r="F512">
        <v>2</v>
      </c>
      <c r="G512" s="32">
        <v>2</v>
      </c>
      <c r="H512">
        <v>1</v>
      </c>
      <c r="J512" t="s">
        <v>52</v>
      </c>
      <c r="K512" t="s">
        <v>37</v>
      </c>
      <c r="L512" t="s">
        <v>28</v>
      </c>
    </row>
    <row r="513" spans="2:12">
      <c r="B513" t="s">
        <v>1</v>
      </c>
      <c r="C513" s="5" t="s">
        <v>64</v>
      </c>
      <c r="D513" s="1" t="s">
        <v>66</v>
      </c>
      <c r="E513">
        <v>40</v>
      </c>
      <c r="F513">
        <v>3</v>
      </c>
      <c r="G513" s="32">
        <v>2</v>
      </c>
      <c r="H513">
        <v>1</v>
      </c>
      <c r="J513" t="s">
        <v>42</v>
      </c>
      <c r="K513" t="s">
        <v>20</v>
      </c>
      <c r="L513" t="s">
        <v>26</v>
      </c>
    </row>
    <row r="514" spans="2:12">
      <c r="B514" t="s">
        <v>1</v>
      </c>
      <c r="C514" s="5" t="s">
        <v>64</v>
      </c>
      <c r="D514" s="1" t="s">
        <v>66</v>
      </c>
      <c r="E514">
        <v>50</v>
      </c>
      <c r="F514">
        <v>1</v>
      </c>
      <c r="G514" s="32">
        <v>1</v>
      </c>
      <c r="H514">
        <v>1</v>
      </c>
      <c r="J514" t="s">
        <v>19</v>
      </c>
      <c r="K514" t="s">
        <v>20</v>
      </c>
      <c r="L514" t="s">
        <v>26</v>
      </c>
    </row>
    <row r="515" spans="2:12">
      <c r="B515" t="s">
        <v>1</v>
      </c>
      <c r="C515" s="5" t="s">
        <v>64</v>
      </c>
      <c r="D515" s="1" t="s">
        <v>66</v>
      </c>
      <c r="E515">
        <v>50</v>
      </c>
      <c r="F515">
        <v>2</v>
      </c>
      <c r="G515" s="32">
        <v>0</v>
      </c>
      <c r="H515">
        <v>0</v>
      </c>
      <c r="J515" t="s">
        <v>52</v>
      </c>
      <c r="L515" t="s">
        <v>28</v>
      </c>
    </row>
    <row r="516" spans="2:12">
      <c r="B516" t="s">
        <v>1</v>
      </c>
      <c r="C516" s="5" t="s">
        <v>64</v>
      </c>
      <c r="D516" s="1" t="s">
        <v>66</v>
      </c>
      <c r="E516">
        <v>50</v>
      </c>
      <c r="F516">
        <v>3</v>
      </c>
      <c r="G516" s="32">
        <v>2</v>
      </c>
      <c r="H516">
        <v>1</v>
      </c>
      <c r="J516" t="s">
        <v>42</v>
      </c>
      <c r="K516" t="s">
        <v>20</v>
      </c>
      <c r="L516" t="s">
        <v>26</v>
      </c>
    </row>
    <row r="517" spans="2:12">
      <c r="B517" t="s">
        <v>1</v>
      </c>
      <c r="C517" s="5" t="s">
        <v>64</v>
      </c>
      <c r="D517" s="1" t="s">
        <v>66</v>
      </c>
      <c r="E517">
        <v>60</v>
      </c>
      <c r="F517">
        <v>1</v>
      </c>
      <c r="G517" s="32">
        <v>1</v>
      </c>
      <c r="H517">
        <v>1</v>
      </c>
      <c r="J517" t="s">
        <v>19</v>
      </c>
      <c r="K517" t="s">
        <v>20</v>
      </c>
      <c r="L517" t="s">
        <v>26</v>
      </c>
    </row>
    <row r="518" spans="2:12">
      <c r="B518" t="s">
        <v>1</v>
      </c>
      <c r="C518" s="5" t="s">
        <v>64</v>
      </c>
      <c r="D518" s="1" t="s">
        <v>66</v>
      </c>
      <c r="E518">
        <v>60</v>
      </c>
      <c r="F518">
        <v>2</v>
      </c>
      <c r="G518" s="32">
        <v>2</v>
      </c>
      <c r="H518">
        <v>1</v>
      </c>
      <c r="J518" t="s">
        <v>52</v>
      </c>
      <c r="K518" t="s">
        <v>37</v>
      </c>
      <c r="L518" t="s">
        <v>28</v>
      </c>
    </row>
    <row r="519" spans="2:12">
      <c r="B519" t="s">
        <v>1</v>
      </c>
      <c r="C519" s="5" t="s">
        <v>64</v>
      </c>
      <c r="D519" s="1" t="s">
        <v>66</v>
      </c>
      <c r="E519">
        <v>70</v>
      </c>
      <c r="F519">
        <v>1</v>
      </c>
      <c r="G519" s="32">
        <v>1</v>
      </c>
      <c r="H519">
        <v>1</v>
      </c>
      <c r="J519" t="s">
        <v>19</v>
      </c>
      <c r="K519" t="s">
        <v>20</v>
      </c>
      <c r="L519" t="s">
        <v>26</v>
      </c>
    </row>
    <row r="520" spans="2:12">
      <c r="B520" t="s">
        <v>1</v>
      </c>
      <c r="C520" s="5" t="s">
        <v>64</v>
      </c>
      <c r="D520" s="1" t="s">
        <v>66</v>
      </c>
      <c r="E520">
        <v>70</v>
      </c>
      <c r="F520">
        <v>2</v>
      </c>
      <c r="G520" s="32">
        <v>2</v>
      </c>
      <c r="H520">
        <v>1</v>
      </c>
      <c r="J520" t="s">
        <v>52</v>
      </c>
      <c r="K520" t="s">
        <v>37</v>
      </c>
      <c r="L520" t="s">
        <v>28</v>
      </c>
    </row>
    <row r="521" spans="2:12">
      <c r="B521" t="s">
        <v>1</v>
      </c>
      <c r="C521" s="5" t="s">
        <v>64</v>
      </c>
      <c r="D521" s="1" t="s">
        <v>66</v>
      </c>
      <c r="E521">
        <v>80</v>
      </c>
      <c r="F521">
        <v>1</v>
      </c>
      <c r="G521" s="32">
        <v>1</v>
      </c>
      <c r="H521">
        <v>1</v>
      </c>
      <c r="J521" t="s">
        <v>19</v>
      </c>
      <c r="K521" t="s">
        <v>20</v>
      </c>
      <c r="L521" t="s">
        <v>26</v>
      </c>
    </row>
    <row r="522" spans="2:12">
      <c r="B522" t="s">
        <v>1</v>
      </c>
      <c r="C522" s="5" t="s">
        <v>64</v>
      </c>
      <c r="D522" s="1" t="s">
        <v>66</v>
      </c>
      <c r="E522">
        <v>80</v>
      </c>
      <c r="F522">
        <v>2</v>
      </c>
      <c r="G522" s="32">
        <v>2</v>
      </c>
      <c r="H522">
        <v>1</v>
      </c>
      <c r="J522" t="s">
        <v>52</v>
      </c>
      <c r="K522" t="s">
        <v>37</v>
      </c>
      <c r="L522" t="s">
        <v>28</v>
      </c>
    </row>
    <row r="523" spans="2:12">
      <c r="B523" t="s">
        <v>1</v>
      </c>
      <c r="C523" s="5" t="s">
        <v>64</v>
      </c>
      <c r="D523" s="1" t="s">
        <v>66</v>
      </c>
      <c r="E523">
        <v>90</v>
      </c>
      <c r="F523">
        <v>1</v>
      </c>
      <c r="G523" s="32">
        <v>1</v>
      </c>
      <c r="H523">
        <v>1</v>
      </c>
      <c r="J523" t="s">
        <v>19</v>
      </c>
      <c r="K523" t="s">
        <v>20</v>
      </c>
      <c r="L523" t="s">
        <v>26</v>
      </c>
    </row>
    <row r="524" spans="2:12">
      <c r="B524" t="s">
        <v>1</v>
      </c>
      <c r="C524" s="5" t="s">
        <v>64</v>
      </c>
      <c r="D524" s="1" t="s">
        <v>66</v>
      </c>
      <c r="E524">
        <v>90</v>
      </c>
      <c r="F524">
        <v>2</v>
      </c>
      <c r="G524" s="32">
        <v>2</v>
      </c>
      <c r="H524">
        <v>1</v>
      </c>
      <c r="J524" t="s">
        <v>52</v>
      </c>
      <c r="K524" t="s">
        <v>37</v>
      </c>
      <c r="L524" t="s">
        <v>28</v>
      </c>
    </row>
    <row r="525" spans="2:12">
      <c r="B525" t="s">
        <v>1</v>
      </c>
      <c r="C525" s="5" t="s">
        <v>64</v>
      </c>
      <c r="D525" s="1" t="s">
        <v>66</v>
      </c>
      <c r="E525">
        <v>100</v>
      </c>
      <c r="F525">
        <v>1</v>
      </c>
      <c r="G525" s="32">
        <v>1</v>
      </c>
      <c r="H525">
        <v>1</v>
      </c>
      <c r="J525" t="s">
        <v>52</v>
      </c>
      <c r="K525" t="s">
        <v>37</v>
      </c>
      <c r="L525" t="s">
        <v>28</v>
      </c>
    </row>
    <row r="526" spans="2:12">
      <c r="B526" t="s">
        <v>1</v>
      </c>
      <c r="C526" s="5" t="s">
        <v>64</v>
      </c>
      <c r="D526" s="1" t="s">
        <v>66</v>
      </c>
      <c r="E526">
        <v>100</v>
      </c>
      <c r="F526">
        <v>2</v>
      </c>
      <c r="G526" s="32">
        <v>0</v>
      </c>
      <c r="H526">
        <v>0</v>
      </c>
      <c r="J526" t="s">
        <v>19</v>
      </c>
      <c r="L526" t="s">
        <v>26</v>
      </c>
    </row>
    <row r="527" spans="2:12">
      <c r="B527" t="s">
        <v>1</v>
      </c>
      <c r="C527" s="5" t="s">
        <v>64</v>
      </c>
      <c r="D527" s="1" t="s">
        <v>66</v>
      </c>
      <c r="E527">
        <v>110</v>
      </c>
      <c r="F527">
        <v>1</v>
      </c>
      <c r="G527" s="32">
        <v>1</v>
      </c>
      <c r="H527">
        <v>1</v>
      </c>
      <c r="J527" t="s">
        <v>19</v>
      </c>
      <c r="K527" t="s">
        <v>20</v>
      </c>
      <c r="L527" t="s">
        <v>26</v>
      </c>
    </row>
    <row r="528" spans="2:12">
      <c r="B528" t="s">
        <v>1</v>
      </c>
      <c r="C528" s="5" t="s">
        <v>64</v>
      </c>
      <c r="D528" s="1" t="s">
        <v>66</v>
      </c>
      <c r="E528">
        <v>110</v>
      </c>
      <c r="F528">
        <v>2</v>
      </c>
      <c r="G528" s="32">
        <v>1</v>
      </c>
      <c r="H528">
        <v>1</v>
      </c>
      <c r="J528" t="s">
        <v>52</v>
      </c>
      <c r="K528" t="s">
        <v>37</v>
      </c>
      <c r="L528" t="s">
        <v>28</v>
      </c>
    </row>
    <row r="529" spans="2:12">
      <c r="B529" t="s">
        <v>1</v>
      </c>
      <c r="C529" s="5" t="s">
        <v>64</v>
      </c>
      <c r="D529" s="1" t="s">
        <v>66</v>
      </c>
      <c r="E529">
        <v>110</v>
      </c>
      <c r="F529">
        <v>3</v>
      </c>
      <c r="G529" s="32">
        <v>2</v>
      </c>
      <c r="H529">
        <v>1</v>
      </c>
      <c r="J529" t="s">
        <v>42</v>
      </c>
      <c r="K529" t="s">
        <v>20</v>
      </c>
      <c r="L529" t="s">
        <v>26</v>
      </c>
    </row>
    <row r="530" spans="2:12">
      <c r="B530" t="s">
        <v>1</v>
      </c>
      <c r="C530" s="5" t="s">
        <v>64</v>
      </c>
      <c r="D530" s="1" t="s">
        <v>66</v>
      </c>
      <c r="E530">
        <v>120</v>
      </c>
      <c r="F530">
        <v>1</v>
      </c>
      <c r="G530" s="32">
        <v>1</v>
      </c>
      <c r="H530">
        <v>1</v>
      </c>
      <c r="J530" t="s">
        <v>52</v>
      </c>
      <c r="K530" t="s">
        <v>37</v>
      </c>
      <c r="L530" t="s">
        <v>28</v>
      </c>
    </row>
    <row r="531" spans="2:12">
      <c r="B531" t="s">
        <v>1</v>
      </c>
      <c r="C531" s="5" t="s">
        <v>64</v>
      </c>
      <c r="D531" s="1" t="s">
        <v>66</v>
      </c>
      <c r="E531">
        <v>120</v>
      </c>
      <c r="F531">
        <v>2</v>
      </c>
      <c r="G531" s="32">
        <v>2</v>
      </c>
      <c r="H531">
        <v>1</v>
      </c>
      <c r="J531" t="s">
        <v>19</v>
      </c>
      <c r="K531" t="s">
        <v>20</v>
      </c>
      <c r="L531" t="s">
        <v>26</v>
      </c>
    </row>
    <row r="532" spans="2:12">
      <c r="B532" t="s">
        <v>1</v>
      </c>
      <c r="C532" s="5" t="s">
        <v>64</v>
      </c>
      <c r="D532" s="1" t="s">
        <v>66</v>
      </c>
      <c r="E532">
        <v>120</v>
      </c>
      <c r="F532">
        <v>3</v>
      </c>
      <c r="G532" s="32">
        <v>2</v>
      </c>
      <c r="H532">
        <v>1</v>
      </c>
      <c r="J532" t="s">
        <v>42</v>
      </c>
      <c r="K532" t="s">
        <v>20</v>
      </c>
      <c r="L532" t="s">
        <v>26</v>
      </c>
    </row>
    <row r="533" spans="2:12">
      <c r="B533" t="s">
        <v>1</v>
      </c>
      <c r="C533" s="5" t="s">
        <v>64</v>
      </c>
      <c r="D533" s="1" t="s">
        <v>66</v>
      </c>
      <c r="E533">
        <v>130</v>
      </c>
      <c r="F533">
        <v>1</v>
      </c>
      <c r="G533" s="32">
        <v>1</v>
      </c>
      <c r="H533">
        <v>1</v>
      </c>
      <c r="J533" t="s">
        <v>19</v>
      </c>
      <c r="K533" t="s">
        <v>20</v>
      </c>
      <c r="L533" t="s">
        <v>26</v>
      </c>
    </row>
    <row r="534" spans="2:12">
      <c r="B534" t="s">
        <v>1</v>
      </c>
      <c r="C534" s="5" t="s">
        <v>64</v>
      </c>
      <c r="D534" s="1" t="s">
        <v>66</v>
      </c>
      <c r="E534">
        <v>130</v>
      </c>
      <c r="F534">
        <v>2</v>
      </c>
      <c r="G534" s="32">
        <v>1</v>
      </c>
      <c r="H534">
        <v>1</v>
      </c>
      <c r="J534" t="s">
        <v>42</v>
      </c>
      <c r="K534" t="s">
        <v>20</v>
      </c>
      <c r="L534" t="s">
        <v>26</v>
      </c>
    </row>
    <row r="535" spans="2:12">
      <c r="B535" t="s">
        <v>1</v>
      </c>
      <c r="C535" s="5" t="s">
        <v>64</v>
      </c>
      <c r="D535" s="1" t="s">
        <v>66</v>
      </c>
      <c r="E535">
        <v>130</v>
      </c>
      <c r="F535">
        <v>3</v>
      </c>
      <c r="G535" s="32">
        <v>2</v>
      </c>
      <c r="H535">
        <v>1</v>
      </c>
      <c r="J535" t="s">
        <v>52</v>
      </c>
      <c r="K535" t="s">
        <v>37</v>
      </c>
      <c r="L535" t="s">
        <v>28</v>
      </c>
    </row>
    <row r="536" spans="2:12">
      <c r="B536" t="s">
        <v>1</v>
      </c>
      <c r="C536" s="5" t="s">
        <v>64</v>
      </c>
      <c r="D536" s="1" t="s">
        <v>66</v>
      </c>
      <c r="E536">
        <v>140</v>
      </c>
      <c r="F536">
        <v>1</v>
      </c>
      <c r="G536" s="32">
        <v>1</v>
      </c>
      <c r="H536">
        <v>1</v>
      </c>
      <c r="J536" t="s">
        <v>52</v>
      </c>
      <c r="K536" t="s">
        <v>37</v>
      </c>
      <c r="L536" t="s">
        <v>28</v>
      </c>
    </row>
    <row r="537" spans="2:12">
      <c r="B537" t="s">
        <v>1</v>
      </c>
      <c r="C537" s="5" t="s">
        <v>64</v>
      </c>
      <c r="D537" s="1" t="s">
        <v>66</v>
      </c>
      <c r="E537">
        <v>140</v>
      </c>
      <c r="F537">
        <v>2</v>
      </c>
      <c r="G537" s="32">
        <v>1</v>
      </c>
      <c r="H537">
        <v>1</v>
      </c>
      <c r="J537" t="s">
        <v>19</v>
      </c>
      <c r="K537" t="s">
        <v>20</v>
      </c>
      <c r="L537" t="s">
        <v>26</v>
      </c>
    </row>
    <row r="538" spans="2:12">
      <c r="B538" t="s">
        <v>1</v>
      </c>
      <c r="C538" s="5" t="s">
        <v>64</v>
      </c>
      <c r="D538" s="1" t="s">
        <v>66</v>
      </c>
      <c r="E538">
        <v>150</v>
      </c>
      <c r="F538">
        <v>1</v>
      </c>
      <c r="G538" s="32">
        <v>1</v>
      </c>
      <c r="H538">
        <v>1</v>
      </c>
      <c r="J538" t="s">
        <v>52</v>
      </c>
      <c r="K538" t="s">
        <v>37</v>
      </c>
      <c r="L538" t="s">
        <v>28</v>
      </c>
    </row>
    <row r="539" spans="2:12">
      <c r="B539" t="s">
        <v>1</v>
      </c>
      <c r="C539" s="5" t="s">
        <v>64</v>
      </c>
      <c r="D539" s="1" t="s">
        <v>66</v>
      </c>
      <c r="E539">
        <v>150</v>
      </c>
      <c r="F539">
        <v>2</v>
      </c>
      <c r="G539" s="32">
        <v>2</v>
      </c>
      <c r="H539">
        <v>1</v>
      </c>
      <c r="J539" t="s">
        <v>19</v>
      </c>
      <c r="K539" t="s">
        <v>20</v>
      </c>
      <c r="L539" t="s">
        <v>26</v>
      </c>
    </row>
    <row r="540" spans="2:12">
      <c r="B540" t="s">
        <v>1</v>
      </c>
      <c r="C540" s="5" t="s">
        <v>64</v>
      </c>
      <c r="D540" s="1" t="s">
        <v>66</v>
      </c>
      <c r="E540">
        <v>160</v>
      </c>
      <c r="F540">
        <v>1</v>
      </c>
      <c r="G540" s="32">
        <v>1</v>
      </c>
      <c r="H540">
        <v>1</v>
      </c>
      <c r="J540" t="s">
        <v>19</v>
      </c>
      <c r="K540" t="s">
        <v>20</v>
      </c>
      <c r="L540" t="s">
        <v>26</v>
      </c>
    </row>
    <row r="541" spans="2:12">
      <c r="B541" t="s">
        <v>1</v>
      </c>
      <c r="C541" s="5" t="s">
        <v>64</v>
      </c>
      <c r="D541" s="1" t="s">
        <v>66</v>
      </c>
      <c r="E541">
        <v>160</v>
      </c>
      <c r="F541">
        <v>2</v>
      </c>
      <c r="G541" s="32">
        <v>2</v>
      </c>
      <c r="H541">
        <v>1</v>
      </c>
      <c r="J541" t="s">
        <v>52</v>
      </c>
      <c r="K541" t="s">
        <v>37</v>
      </c>
      <c r="L541" t="s">
        <v>28</v>
      </c>
    </row>
    <row r="542" spans="2:12">
      <c r="B542" t="s">
        <v>1</v>
      </c>
      <c r="C542" s="5" t="s">
        <v>64</v>
      </c>
      <c r="D542" s="1" t="s">
        <v>66</v>
      </c>
      <c r="E542">
        <v>170</v>
      </c>
      <c r="F542">
        <v>1</v>
      </c>
      <c r="G542" s="32">
        <v>1</v>
      </c>
      <c r="H542">
        <v>1</v>
      </c>
      <c r="J542" t="s">
        <v>19</v>
      </c>
      <c r="K542" t="s">
        <v>20</v>
      </c>
      <c r="L542" t="s">
        <v>26</v>
      </c>
    </row>
    <row r="543" spans="2:12">
      <c r="B543" t="s">
        <v>1</v>
      </c>
      <c r="C543" s="5" t="s">
        <v>64</v>
      </c>
      <c r="D543" s="1" t="s">
        <v>66</v>
      </c>
      <c r="E543">
        <v>170</v>
      </c>
      <c r="F543">
        <v>2</v>
      </c>
      <c r="G543" s="32">
        <v>2</v>
      </c>
      <c r="H543">
        <v>1</v>
      </c>
      <c r="J543" t="s">
        <v>52</v>
      </c>
      <c r="K543" t="s">
        <v>37</v>
      </c>
      <c r="L543" t="s">
        <v>28</v>
      </c>
    </row>
    <row r="544" spans="2:12">
      <c r="B544" t="s">
        <v>1</v>
      </c>
      <c r="C544" s="5" t="s">
        <v>64</v>
      </c>
      <c r="D544" s="1" t="s">
        <v>66</v>
      </c>
      <c r="E544">
        <v>180</v>
      </c>
      <c r="F544">
        <v>1</v>
      </c>
      <c r="G544" s="32">
        <v>1</v>
      </c>
      <c r="H544">
        <v>1</v>
      </c>
      <c r="J544" t="s">
        <v>52</v>
      </c>
      <c r="K544" t="s">
        <v>37</v>
      </c>
      <c r="L544" t="s">
        <v>28</v>
      </c>
    </row>
    <row r="545" spans="2:12">
      <c r="B545" t="s">
        <v>1</v>
      </c>
      <c r="C545" s="5" t="s">
        <v>64</v>
      </c>
      <c r="D545" s="1" t="s">
        <v>66</v>
      </c>
      <c r="E545">
        <v>180</v>
      </c>
      <c r="F545">
        <v>2</v>
      </c>
      <c r="G545" s="32">
        <v>2</v>
      </c>
      <c r="H545">
        <v>1</v>
      </c>
      <c r="J545" t="s">
        <v>19</v>
      </c>
      <c r="K545" t="s">
        <v>20</v>
      </c>
      <c r="L545" t="s">
        <v>26</v>
      </c>
    </row>
    <row r="546" spans="2:12">
      <c r="D546" t="s">
        <v>66</v>
      </c>
      <c r="E546">
        <v>190</v>
      </c>
      <c r="F546">
        <v>1</v>
      </c>
      <c r="H546">
        <v>1</v>
      </c>
      <c r="J546" t="s">
        <v>19</v>
      </c>
      <c r="K546" t="s">
        <v>20</v>
      </c>
      <c r="L546" t="s">
        <v>26</v>
      </c>
    </row>
    <row r="547" spans="2:12">
      <c r="D547" t="s">
        <v>66</v>
      </c>
      <c r="E547">
        <v>190</v>
      </c>
      <c r="F547">
        <v>2</v>
      </c>
      <c r="H547">
        <v>1</v>
      </c>
      <c r="J547" t="s">
        <v>53</v>
      </c>
      <c r="K547" t="s">
        <v>31</v>
      </c>
      <c r="L547" t="s">
        <v>28</v>
      </c>
    </row>
    <row r="548" spans="2:12">
      <c r="B548" t="s">
        <v>1</v>
      </c>
      <c r="C548" s="5" t="s">
        <v>64</v>
      </c>
      <c r="D548" s="1" t="s">
        <v>66</v>
      </c>
      <c r="E548">
        <v>200</v>
      </c>
      <c r="F548">
        <v>1</v>
      </c>
      <c r="G548" s="32">
        <v>1</v>
      </c>
      <c r="H548">
        <v>1</v>
      </c>
      <c r="J548" t="s">
        <v>19</v>
      </c>
      <c r="K548" t="s">
        <v>20</v>
      </c>
      <c r="L548" t="s">
        <v>26</v>
      </c>
    </row>
    <row r="549" spans="2:12">
      <c r="B549" t="s">
        <v>1</v>
      </c>
      <c r="C549" s="5" t="s">
        <v>64</v>
      </c>
      <c r="D549" s="1" t="s">
        <v>66</v>
      </c>
      <c r="E549">
        <v>200</v>
      </c>
      <c r="F549">
        <v>2</v>
      </c>
      <c r="G549" s="32">
        <v>2</v>
      </c>
      <c r="H549">
        <v>1</v>
      </c>
      <c r="J549" t="s">
        <v>42</v>
      </c>
      <c r="K549" t="s">
        <v>20</v>
      </c>
      <c r="L549" t="s">
        <v>26</v>
      </c>
    </row>
    <row r="550" spans="2:12">
      <c r="B550" t="s">
        <v>1</v>
      </c>
      <c r="C550" s="5" t="s">
        <v>64</v>
      </c>
      <c r="D550" s="1" t="s">
        <v>66</v>
      </c>
      <c r="E550">
        <v>200</v>
      </c>
      <c r="F550">
        <v>3</v>
      </c>
      <c r="G550" s="32">
        <v>2</v>
      </c>
      <c r="H550">
        <v>1</v>
      </c>
      <c r="J550" t="s">
        <v>52</v>
      </c>
      <c r="K550" t="s">
        <v>37</v>
      </c>
      <c r="L550" t="s">
        <v>28</v>
      </c>
    </row>
    <row r="551" spans="2:12">
      <c r="B551" t="s">
        <v>1</v>
      </c>
      <c r="C551" s="5" t="s">
        <v>64</v>
      </c>
      <c r="D551" s="1" t="s">
        <v>66</v>
      </c>
      <c r="E551">
        <v>210</v>
      </c>
      <c r="F551">
        <v>1</v>
      </c>
      <c r="G551" s="32">
        <v>1</v>
      </c>
      <c r="H551">
        <v>1</v>
      </c>
      <c r="J551" t="s">
        <v>19</v>
      </c>
      <c r="K551" t="s">
        <v>20</v>
      </c>
      <c r="L551" t="s">
        <v>26</v>
      </c>
    </row>
    <row r="552" spans="2:12">
      <c r="B552" t="s">
        <v>1</v>
      </c>
      <c r="C552" s="5" t="s">
        <v>64</v>
      </c>
      <c r="D552" s="1" t="s">
        <v>66</v>
      </c>
      <c r="E552">
        <v>210</v>
      </c>
      <c r="F552">
        <v>2</v>
      </c>
      <c r="G552" s="32">
        <v>1</v>
      </c>
      <c r="H552">
        <v>1</v>
      </c>
      <c r="J552" t="s">
        <v>42</v>
      </c>
      <c r="K552" t="s">
        <v>20</v>
      </c>
      <c r="L552" t="s">
        <v>26</v>
      </c>
    </row>
    <row r="553" spans="2:12">
      <c r="B553" t="s">
        <v>1</v>
      </c>
      <c r="C553" s="5" t="s">
        <v>64</v>
      </c>
      <c r="D553" s="1" t="s">
        <v>66</v>
      </c>
      <c r="E553">
        <v>210</v>
      </c>
      <c r="F553">
        <v>3</v>
      </c>
      <c r="G553" s="32">
        <v>3</v>
      </c>
      <c r="H553">
        <v>0</v>
      </c>
      <c r="J553" t="s">
        <v>52</v>
      </c>
      <c r="L553" t="s">
        <v>28</v>
      </c>
    </row>
    <row r="554" spans="2:12">
      <c r="B554" t="s">
        <v>1</v>
      </c>
      <c r="C554" s="5" t="s">
        <v>64</v>
      </c>
      <c r="D554" s="1" t="s">
        <v>66</v>
      </c>
      <c r="E554">
        <v>220</v>
      </c>
      <c r="F554">
        <v>1</v>
      </c>
      <c r="G554" s="32">
        <v>1</v>
      </c>
      <c r="H554">
        <v>1</v>
      </c>
      <c r="J554" t="s">
        <v>19</v>
      </c>
      <c r="K554" t="s">
        <v>20</v>
      </c>
      <c r="L554" t="s">
        <v>26</v>
      </c>
    </row>
    <row r="555" spans="2:12">
      <c r="B555" t="s">
        <v>1</v>
      </c>
      <c r="C555" s="5" t="s">
        <v>64</v>
      </c>
      <c r="D555" s="1" t="s">
        <v>66</v>
      </c>
      <c r="E555">
        <v>220</v>
      </c>
      <c r="F555">
        <v>2</v>
      </c>
      <c r="G555" s="32">
        <v>2</v>
      </c>
      <c r="H555">
        <v>1</v>
      </c>
      <c r="J555" t="s">
        <v>42</v>
      </c>
      <c r="K555" t="s">
        <v>20</v>
      </c>
      <c r="L555" t="s">
        <v>26</v>
      </c>
    </row>
    <row r="556" spans="2:12">
      <c r="B556" t="s">
        <v>1</v>
      </c>
      <c r="C556" s="5" t="s">
        <v>64</v>
      </c>
      <c r="D556" s="1" t="s">
        <v>66</v>
      </c>
      <c r="E556">
        <v>220</v>
      </c>
      <c r="F556">
        <v>3</v>
      </c>
      <c r="G556" s="32">
        <v>1</v>
      </c>
      <c r="H556">
        <v>1</v>
      </c>
      <c r="J556" t="s">
        <v>35</v>
      </c>
      <c r="K556" t="s">
        <v>36</v>
      </c>
      <c r="L556" t="s">
        <v>28</v>
      </c>
    </row>
    <row r="557" spans="2:12">
      <c r="B557" t="s">
        <v>1</v>
      </c>
      <c r="C557" s="5" t="s">
        <v>64</v>
      </c>
      <c r="D557" s="1" t="s">
        <v>66</v>
      </c>
      <c r="E557">
        <v>230</v>
      </c>
      <c r="F557">
        <v>1</v>
      </c>
      <c r="G557" s="32">
        <v>1</v>
      </c>
      <c r="H557">
        <v>1</v>
      </c>
      <c r="J557" t="s">
        <v>19</v>
      </c>
      <c r="K557" t="s">
        <v>20</v>
      </c>
      <c r="L557" t="s">
        <v>26</v>
      </c>
    </row>
    <row r="558" spans="2:12">
      <c r="B558" t="s">
        <v>1</v>
      </c>
      <c r="C558" s="5" t="s">
        <v>64</v>
      </c>
      <c r="D558" s="1" t="s">
        <v>66</v>
      </c>
      <c r="E558">
        <v>230</v>
      </c>
      <c r="F558">
        <v>2</v>
      </c>
      <c r="G558" s="32">
        <v>1</v>
      </c>
      <c r="H558">
        <v>1</v>
      </c>
      <c r="J558" t="s">
        <v>42</v>
      </c>
      <c r="K558" t="s">
        <v>20</v>
      </c>
      <c r="L558" t="s">
        <v>26</v>
      </c>
    </row>
    <row r="559" spans="2:12">
      <c r="B559" t="s">
        <v>1</v>
      </c>
      <c r="C559" s="5" t="s">
        <v>64</v>
      </c>
      <c r="D559" s="1" t="s">
        <v>66</v>
      </c>
      <c r="E559">
        <v>230</v>
      </c>
      <c r="F559">
        <v>3</v>
      </c>
      <c r="G559" s="32">
        <v>1</v>
      </c>
      <c r="H559">
        <v>1</v>
      </c>
      <c r="J559" t="s">
        <v>35</v>
      </c>
      <c r="K559" t="s">
        <v>36</v>
      </c>
      <c r="L559" t="s">
        <v>28</v>
      </c>
    </row>
    <row r="560" spans="2:12">
      <c r="B560" t="s">
        <v>1</v>
      </c>
      <c r="C560" s="5" t="s">
        <v>64</v>
      </c>
      <c r="D560" s="1" t="s">
        <v>66</v>
      </c>
      <c r="E560">
        <v>240</v>
      </c>
      <c r="F560">
        <v>1</v>
      </c>
      <c r="G560" s="32">
        <v>1</v>
      </c>
      <c r="H560">
        <v>1</v>
      </c>
      <c r="J560" t="s">
        <v>19</v>
      </c>
      <c r="K560" t="s">
        <v>20</v>
      </c>
      <c r="L560" t="s">
        <v>26</v>
      </c>
    </row>
    <row r="561" spans="2:12">
      <c r="B561" t="s">
        <v>1</v>
      </c>
      <c r="C561" s="5" t="s">
        <v>64</v>
      </c>
      <c r="D561" s="1" t="s">
        <v>66</v>
      </c>
      <c r="E561">
        <v>240</v>
      </c>
      <c r="F561">
        <v>2</v>
      </c>
      <c r="G561" s="32">
        <v>1</v>
      </c>
      <c r="H561">
        <v>1</v>
      </c>
      <c r="J561" t="s">
        <v>42</v>
      </c>
      <c r="K561" t="s">
        <v>20</v>
      </c>
      <c r="L561" t="s">
        <v>26</v>
      </c>
    </row>
    <row r="562" spans="2:12">
      <c r="B562" t="s">
        <v>1</v>
      </c>
      <c r="C562" s="5" t="s">
        <v>64</v>
      </c>
      <c r="D562" s="1" t="s">
        <v>66</v>
      </c>
      <c r="E562">
        <v>250</v>
      </c>
      <c r="F562">
        <v>1</v>
      </c>
      <c r="G562" s="32">
        <v>1</v>
      </c>
      <c r="H562">
        <v>1</v>
      </c>
      <c r="J562" t="s">
        <v>19</v>
      </c>
      <c r="K562" t="s">
        <v>20</v>
      </c>
      <c r="L562" t="s">
        <v>26</v>
      </c>
    </row>
    <row r="563" spans="2:12">
      <c r="B563" t="s">
        <v>1</v>
      </c>
      <c r="C563" s="5" t="s">
        <v>64</v>
      </c>
      <c r="D563" s="1" t="s">
        <v>66</v>
      </c>
      <c r="E563">
        <v>250</v>
      </c>
      <c r="F563">
        <v>2</v>
      </c>
      <c r="G563" s="32">
        <v>1</v>
      </c>
      <c r="H563">
        <v>1</v>
      </c>
      <c r="J563" t="s">
        <v>42</v>
      </c>
      <c r="K563" t="s">
        <v>20</v>
      </c>
      <c r="L563" t="s">
        <v>26</v>
      </c>
    </row>
    <row r="564" spans="2:12">
      <c r="B564" t="s">
        <v>1</v>
      </c>
      <c r="C564" s="5" t="s">
        <v>64</v>
      </c>
      <c r="D564" s="1" t="s">
        <v>66</v>
      </c>
      <c r="E564">
        <v>250</v>
      </c>
      <c r="F564">
        <v>3</v>
      </c>
      <c r="G564" s="32">
        <v>1</v>
      </c>
      <c r="H564">
        <v>1</v>
      </c>
      <c r="J564" t="s">
        <v>47</v>
      </c>
      <c r="K564" t="s">
        <v>47</v>
      </c>
      <c r="L564" t="s">
        <v>28</v>
      </c>
    </row>
    <row r="565" spans="2:12">
      <c r="B565" t="s">
        <v>1</v>
      </c>
      <c r="C565" s="5" t="s">
        <v>64</v>
      </c>
      <c r="D565" s="1" t="s">
        <v>66</v>
      </c>
      <c r="E565">
        <v>260</v>
      </c>
      <c r="F565">
        <v>1</v>
      </c>
      <c r="G565" s="32">
        <v>1</v>
      </c>
      <c r="H565">
        <v>1</v>
      </c>
      <c r="J565" t="s">
        <v>19</v>
      </c>
      <c r="K565" t="s">
        <v>20</v>
      </c>
      <c r="L565" t="s">
        <v>26</v>
      </c>
    </row>
    <row r="566" spans="2:12">
      <c r="B566" t="s">
        <v>1</v>
      </c>
      <c r="C566" s="5" t="s">
        <v>64</v>
      </c>
      <c r="D566" s="1" t="s">
        <v>66</v>
      </c>
      <c r="E566">
        <v>260</v>
      </c>
      <c r="F566">
        <v>2</v>
      </c>
      <c r="G566" s="32">
        <v>0</v>
      </c>
      <c r="H566">
        <v>0</v>
      </c>
      <c r="J566" t="s">
        <v>47</v>
      </c>
      <c r="L566" t="s">
        <v>28</v>
      </c>
    </row>
    <row r="567" spans="2:12">
      <c r="B567" t="s">
        <v>1</v>
      </c>
      <c r="C567" s="5" t="s">
        <v>64</v>
      </c>
      <c r="D567" s="1" t="s">
        <v>66</v>
      </c>
      <c r="E567">
        <v>270</v>
      </c>
      <c r="F567">
        <v>1</v>
      </c>
      <c r="G567" s="32">
        <v>1</v>
      </c>
      <c r="H567">
        <v>1</v>
      </c>
      <c r="J567" t="s">
        <v>19</v>
      </c>
      <c r="K567" t="s">
        <v>20</v>
      </c>
      <c r="L567" t="s">
        <v>26</v>
      </c>
    </row>
    <row r="568" spans="2:12">
      <c r="B568" t="s">
        <v>1</v>
      </c>
      <c r="C568" s="5" t="s">
        <v>64</v>
      </c>
      <c r="D568" s="1" t="s">
        <v>66</v>
      </c>
      <c r="E568">
        <v>270</v>
      </c>
      <c r="F568">
        <v>2</v>
      </c>
      <c r="G568" s="32">
        <v>0</v>
      </c>
      <c r="H568">
        <v>0</v>
      </c>
      <c r="J568" t="s">
        <v>47</v>
      </c>
      <c r="L568" t="s">
        <v>28</v>
      </c>
    </row>
    <row r="569" spans="2:12">
      <c r="B569" t="s">
        <v>1</v>
      </c>
      <c r="C569" s="5" t="s">
        <v>64</v>
      </c>
      <c r="D569" s="1" t="s">
        <v>66</v>
      </c>
      <c r="E569">
        <v>280</v>
      </c>
      <c r="F569">
        <v>1</v>
      </c>
      <c r="G569" s="32">
        <v>1</v>
      </c>
      <c r="H569">
        <v>1</v>
      </c>
      <c r="J569" t="s">
        <v>19</v>
      </c>
      <c r="K569" t="s">
        <v>20</v>
      </c>
      <c r="L569" t="s">
        <v>26</v>
      </c>
    </row>
    <row r="570" spans="2:12">
      <c r="B570" t="s">
        <v>1</v>
      </c>
      <c r="C570" s="5" t="s">
        <v>64</v>
      </c>
      <c r="D570" s="1" t="s">
        <v>66</v>
      </c>
      <c r="E570">
        <v>280</v>
      </c>
      <c r="F570">
        <v>2</v>
      </c>
      <c r="G570" s="32">
        <v>1</v>
      </c>
      <c r="H570">
        <v>1</v>
      </c>
      <c r="J570" t="s">
        <v>42</v>
      </c>
      <c r="K570" t="s">
        <v>20</v>
      </c>
      <c r="L570" t="s">
        <v>26</v>
      </c>
    </row>
    <row r="571" spans="2:12">
      <c r="B571" t="s">
        <v>1</v>
      </c>
      <c r="C571" s="5" t="s">
        <v>64</v>
      </c>
      <c r="D571" s="1" t="s">
        <v>66</v>
      </c>
      <c r="E571">
        <v>290</v>
      </c>
      <c r="F571">
        <v>1</v>
      </c>
      <c r="G571" s="32">
        <v>1</v>
      </c>
      <c r="H571">
        <v>1</v>
      </c>
      <c r="J571" t="s">
        <v>19</v>
      </c>
      <c r="K571" t="s">
        <v>20</v>
      </c>
      <c r="L571" t="s">
        <v>26</v>
      </c>
    </row>
    <row r="572" spans="2:12">
      <c r="B572" t="s">
        <v>1</v>
      </c>
      <c r="C572" s="5" t="s">
        <v>64</v>
      </c>
      <c r="D572" s="1" t="s">
        <v>66</v>
      </c>
      <c r="E572">
        <v>290</v>
      </c>
      <c r="F572">
        <v>2</v>
      </c>
      <c r="G572" s="32">
        <v>1</v>
      </c>
      <c r="H572">
        <v>1</v>
      </c>
      <c r="J572" t="s">
        <v>42</v>
      </c>
      <c r="K572" t="s">
        <v>20</v>
      </c>
      <c r="L572" t="s">
        <v>26</v>
      </c>
    </row>
    <row r="573" spans="2:12">
      <c r="B573" t="s">
        <v>1</v>
      </c>
      <c r="C573" s="5" t="s">
        <v>64</v>
      </c>
      <c r="D573" s="1" t="s">
        <v>66</v>
      </c>
      <c r="E573">
        <v>290</v>
      </c>
      <c r="F573">
        <v>3</v>
      </c>
      <c r="G573" s="32">
        <v>2</v>
      </c>
      <c r="H573">
        <v>1</v>
      </c>
      <c r="J573" t="s">
        <v>52</v>
      </c>
      <c r="K573" t="s">
        <v>37</v>
      </c>
      <c r="L573" t="s">
        <v>28</v>
      </c>
    </row>
    <row r="574" spans="2:12">
      <c r="B574" t="s">
        <v>1</v>
      </c>
      <c r="C574" s="5" t="s">
        <v>64</v>
      </c>
      <c r="D574" s="1" t="s">
        <v>66</v>
      </c>
      <c r="E574">
        <v>300</v>
      </c>
      <c r="F574">
        <v>1</v>
      </c>
      <c r="G574" s="32">
        <v>1</v>
      </c>
      <c r="H574">
        <v>1</v>
      </c>
      <c r="J574" t="s">
        <v>19</v>
      </c>
      <c r="K574" t="s">
        <v>20</v>
      </c>
      <c r="L574" t="s">
        <v>26</v>
      </c>
    </row>
    <row r="575" spans="2:12">
      <c r="B575" t="s">
        <v>1</v>
      </c>
      <c r="C575" s="5" t="s">
        <v>64</v>
      </c>
      <c r="D575" s="1" t="s">
        <v>66</v>
      </c>
      <c r="E575">
        <v>300</v>
      </c>
      <c r="F575">
        <v>2</v>
      </c>
      <c r="G575" s="32">
        <v>1</v>
      </c>
      <c r="H575">
        <v>1</v>
      </c>
      <c r="J575" t="s">
        <v>42</v>
      </c>
      <c r="K575" t="s">
        <v>20</v>
      </c>
      <c r="L575" t="s">
        <v>26</v>
      </c>
    </row>
    <row r="576" spans="2:12">
      <c r="B576" t="s">
        <v>1</v>
      </c>
      <c r="C576" s="5" t="s">
        <v>64</v>
      </c>
      <c r="D576" s="1" t="s">
        <v>66</v>
      </c>
      <c r="E576">
        <v>300</v>
      </c>
      <c r="F576">
        <v>3</v>
      </c>
      <c r="G576" s="32">
        <v>2</v>
      </c>
      <c r="H576">
        <v>1</v>
      </c>
      <c r="J576" t="s">
        <v>52</v>
      </c>
      <c r="K576" t="s">
        <v>37</v>
      </c>
      <c r="L576" t="s">
        <v>28</v>
      </c>
    </row>
    <row r="577" spans="2:12">
      <c r="B577" t="s">
        <v>1</v>
      </c>
      <c r="C577" s="5" t="s">
        <v>64</v>
      </c>
      <c r="D577" s="1" t="s">
        <v>66</v>
      </c>
      <c r="E577">
        <v>310</v>
      </c>
      <c r="F577">
        <v>1</v>
      </c>
      <c r="G577" s="32">
        <v>1</v>
      </c>
      <c r="H577">
        <v>1</v>
      </c>
      <c r="J577" t="s">
        <v>19</v>
      </c>
      <c r="K577" t="s">
        <v>20</v>
      </c>
      <c r="L577" t="s">
        <v>26</v>
      </c>
    </row>
    <row r="578" spans="2:12">
      <c r="B578" t="s">
        <v>1</v>
      </c>
      <c r="C578" s="5" t="s">
        <v>64</v>
      </c>
      <c r="D578" s="1" t="s">
        <v>66</v>
      </c>
      <c r="E578">
        <v>310</v>
      </c>
      <c r="F578">
        <v>2</v>
      </c>
      <c r="G578" s="32">
        <v>2</v>
      </c>
      <c r="H578">
        <v>1</v>
      </c>
      <c r="J578" t="s">
        <v>42</v>
      </c>
      <c r="K578" t="s">
        <v>20</v>
      </c>
      <c r="L578" t="s">
        <v>26</v>
      </c>
    </row>
    <row r="579" spans="2:12">
      <c r="B579" t="s">
        <v>1</v>
      </c>
      <c r="C579" s="5" t="s">
        <v>64</v>
      </c>
      <c r="D579" s="1" t="s">
        <v>66</v>
      </c>
      <c r="E579">
        <v>310</v>
      </c>
      <c r="F579">
        <v>3</v>
      </c>
      <c r="G579" s="32">
        <v>2</v>
      </c>
      <c r="H579">
        <v>1</v>
      </c>
      <c r="J579" t="s">
        <v>52</v>
      </c>
      <c r="K579" t="s">
        <v>37</v>
      </c>
      <c r="L579" t="s">
        <v>28</v>
      </c>
    </row>
    <row r="580" spans="2:12">
      <c r="B580" t="s">
        <v>1</v>
      </c>
      <c r="C580" s="5" t="s">
        <v>64</v>
      </c>
      <c r="D580" s="1" t="s">
        <v>66</v>
      </c>
      <c r="E580">
        <v>320</v>
      </c>
      <c r="F580">
        <v>1</v>
      </c>
      <c r="G580" s="32">
        <v>1</v>
      </c>
      <c r="H580">
        <v>1</v>
      </c>
      <c r="J580" t="s">
        <v>19</v>
      </c>
      <c r="K580" t="s">
        <v>20</v>
      </c>
      <c r="L580" t="s">
        <v>26</v>
      </c>
    </row>
    <row r="581" spans="2:12">
      <c r="B581" t="s">
        <v>1</v>
      </c>
      <c r="C581" s="5" t="s">
        <v>64</v>
      </c>
      <c r="D581" s="1" t="s">
        <v>66</v>
      </c>
      <c r="E581">
        <v>320</v>
      </c>
      <c r="F581">
        <v>2</v>
      </c>
      <c r="G581" s="32">
        <v>1</v>
      </c>
      <c r="H581">
        <v>1</v>
      </c>
      <c r="J581" t="s">
        <v>42</v>
      </c>
      <c r="K581" t="s">
        <v>20</v>
      </c>
      <c r="L581" t="s">
        <v>26</v>
      </c>
    </row>
    <row r="582" spans="2:12">
      <c r="B582" t="s">
        <v>1</v>
      </c>
      <c r="C582" s="5" t="s">
        <v>64</v>
      </c>
      <c r="D582" s="1" t="s">
        <v>66</v>
      </c>
      <c r="E582">
        <v>320</v>
      </c>
      <c r="F582">
        <v>3</v>
      </c>
      <c r="G582" s="32">
        <v>2</v>
      </c>
      <c r="H582">
        <v>1</v>
      </c>
      <c r="J582" t="s">
        <v>52</v>
      </c>
      <c r="K582" t="s">
        <v>37</v>
      </c>
      <c r="L582" t="s">
        <v>28</v>
      </c>
    </row>
    <row r="583" spans="2:12">
      <c r="D583" t="s">
        <v>66</v>
      </c>
      <c r="E583">
        <v>330</v>
      </c>
      <c r="F583">
        <v>1</v>
      </c>
      <c r="H583">
        <v>1</v>
      </c>
      <c r="J583" t="s">
        <v>19</v>
      </c>
      <c r="K583" t="s">
        <v>20</v>
      </c>
      <c r="L583" t="s">
        <v>26</v>
      </c>
    </row>
    <row r="584" spans="2:12">
      <c r="D584" t="s">
        <v>66</v>
      </c>
      <c r="E584">
        <v>330</v>
      </c>
      <c r="F584">
        <v>2</v>
      </c>
      <c r="H584">
        <v>1</v>
      </c>
      <c r="J584" t="s">
        <v>53</v>
      </c>
      <c r="K584" t="s">
        <v>31</v>
      </c>
      <c r="L584" t="s">
        <v>28</v>
      </c>
    </row>
    <row r="585" spans="2:12">
      <c r="D585" t="s">
        <v>67</v>
      </c>
      <c r="E585">
        <v>0</v>
      </c>
      <c r="F585">
        <v>1</v>
      </c>
      <c r="H585">
        <v>1</v>
      </c>
      <c r="J585" t="s">
        <v>53</v>
      </c>
      <c r="K585" t="s">
        <v>31</v>
      </c>
      <c r="L585" t="s">
        <v>28</v>
      </c>
    </row>
    <row r="586" spans="2:12">
      <c r="B586" t="s">
        <v>1</v>
      </c>
      <c r="C586" s="4" t="s">
        <v>68</v>
      </c>
      <c r="D586" t="s">
        <v>67</v>
      </c>
      <c r="E586">
        <v>10</v>
      </c>
      <c r="F586">
        <v>1</v>
      </c>
      <c r="G586" s="32">
        <v>1</v>
      </c>
      <c r="H586">
        <v>1</v>
      </c>
      <c r="J586" t="s">
        <v>52</v>
      </c>
      <c r="K586" t="s">
        <v>37</v>
      </c>
      <c r="L586" t="s">
        <v>28</v>
      </c>
    </row>
    <row r="587" spans="2:12">
      <c r="D587" t="s">
        <v>67</v>
      </c>
      <c r="E587">
        <v>20</v>
      </c>
      <c r="F587">
        <v>1</v>
      </c>
      <c r="H587">
        <v>1</v>
      </c>
      <c r="J587" t="s">
        <v>19</v>
      </c>
      <c r="K587" t="s">
        <v>20</v>
      </c>
      <c r="L587" t="s">
        <v>26</v>
      </c>
    </row>
    <row r="588" spans="2:12">
      <c r="D588" t="s">
        <v>67</v>
      </c>
      <c r="E588">
        <v>20</v>
      </c>
      <c r="F588">
        <v>2</v>
      </c>
      <c r="H588">
        <v>1</v>
      </c>
      <c r="J588" t="s">
        <v>19</v>
      </c>
      <c r="K588" t="s">
        <v>20</v>
      </c>
      <c r="L588" t="s">
        <v>26</v>
      </c>
    </row>
    <row r="589" spans="2:12">
      <c r="D589" t="s">
        <v>67</v>
      </c>
      <c r="E589">
        <v>20</v>
      </c>
      <c r="F589">
        <v>3</v>
      </c>
      <c r="H589">
        <v>1</v>
      </c>
      <c r="J589" t="s">
        <v>53</v>
      </c>
      <c r="K589" t="s">
        <v>34</v>
      </c>
      <c r="L589" t="s">
        <v>28</v>
      </c>
    </row>
    <row r="590" spans="2:12">
      <c r="D590" t="s">
        <v>67</v>
      </c>
      <c r="E590">
        <v>30</v>
      </c>
      <c r="F590">
        <v>1</v>
      </c>
      <c r="H590">
        <v>1</v>
      </c>
      <c r="J590" t="s">
        <v>53</v>
      </c>
      <c r="K590" t="s">
        <v>31</v>
      </c>
      <c r="L590" t="s">
        <v>28</v>
      </c>
    </row>
    <row r="591" spans="2:12">
      <c r="B591" t="s">
        <v>1</v>
      </c>
      <c r="C591" s="4" t="s">
        <v>68</v>
      </c>
      <c r="D591" t="s">
        <v>67</v>
      </c>
      <c r="E591">
        <v>40</v>
      </c>
      <c r="F591">
        <v>1</v>
      </c>
      <c r="G591" s="32">
        <v>1</v>
      </c>
      <c r="H591">
        <v>1</v>
      </c>
      <c r="J591" t="s">
        <v>19</v>
      </c>
      <c r="K591" t="s">
        <v>20</v>
      </c>
      <c r="L591" t="s">
        <v>26</v>
      </c>
    </row>
    <row r="592" spans="2:12">
      <c r="D592" t="s">
        <v>67</v>
      </c>
      <c r="E592">
        <v>50</v>
      </c>
      <c r="F592">
        <v>1</v>
      </c>
      <c r="H592">
        <v>1</v>
      </c>
      <c r="J592" t="s">
        <v>19</v>
      </c>
      <c r="K592" t="s">
        <v>20</v>
      </c>
      <c r="L592" t="s">
        <v>26</v>
      </c>
    </row>
    <row r="593" spans="2:12">
      <c r="D593" t="s">
        <v>67</v>
      </c>
      <c r="E593">
        <v>50</v>
      </c>
      <c r="F593">
        <v>2</v>
      </c>
      <c r="H593">
        <v>1</v>
      </c>
      <c r="J593" t="s">
        <v>53</v>
      </c>
      <c r="K593" t="s">
        <v>34</v>
      </c>
      <c r="L593" t="s">
        <v>28</v>
      </c>
    </row>
    <row r="594" spans="2:12">
      <c r="D594" t="s">
        <v>67</v>
      </c>
      <c r="E594">
        <v>60</v>
      </c>
      <c r="F594">
        <v>1</v>
      </c>
      <c r="H594">
        <v>0</v>
      </c>
      <c r="J594" t="s">
        <v>19</v>
      </c>
      <c r="L594" t="s">
        <v>26</v>
      </c>
    </row>
    <row r="595" spans="2:12">
      <c r="D595" t="s">
        <v>67</v>
      </c>
      <c r="E595">
        <v>60</v>
      </c>
      <c r="F595">
        <v>2</v>
      </c>
      <c r="H595">
        <v>0</v>
      </c>
      <c r="J595" t="s">
        <v>53</v>
      </c>
      <c r="L595" t="s">
        <v>28</v>
      </c>
    </row>
    <row r="596" spans="2:12">
      <c r="B596" t="s">
        <v>1</v>
      </c>
      <c r="C596" s="4" t="s">
        <v>68</v>
      </c>
      <c r="D596" t="s">
        <v>67</v>
      </c>
      <c r="E596">
        <v>70</v>
      </c>
      <c r="F596">
        <v>1</v>
      </c>
      <c r="G596" s="32">
        <v>2</v>
      </c>
      <c r="H596">
        <v>1</v>
      </c>
      <c r="J596" t="s">
        <v>19</v>
      </c>
      <c r="K596" t="s">
        <v>20</v>
      </c>
      <c r="L596" t="s">
        <v>26</v>
      </c>
    </row>
    <row r="597" spans="2:12">
      <c r="B597" t="s">
        <v>1</v>
      </c>
      <c r="C597" s="4" t="s">
        <v>68</v>
      </c>
      <c r="D597" t="s">
        <v>67</v>
      </c>
      <c r="E597">
        <v>70</v>
      </c>
      <c r="F597">
        <v>2</v>
      </c>
      <c r="G597" s="32">
        <v>1</v>
      </c>
      <c r="H597">
        <v>1</v>
      </c>
      <c r="J597" t="s">
        <v>52</v>
      </c>
      <c r="K597" t="s">
        <v>37</v>
      </c>
      <c r="L597" t="s">
        <v>28</v>
      </c>
    </row>
    <row r="598" spans="2:12">
      <c r="B598" t="s">
        <v>1</v>
      </c>
      <c r="C598" s="4" t="s">
        <v>68</v>
      </c>
      <c r="D598" t="s">
        <v>67</v>
      </c>
      <c r="E598">
        <v>80</v>
      </c>
      <c r="F598">
        <v>1</v>
      </c>
      <c r="G598" s="32">
        <v>1</v>
      </c>
      <c r="H598">
        <v>1</v>
      </c>
      <c r="J598" t="s">
        <v>19</v>
      </c>
      <c r="K598" t="s">
        <v>20</v>
      </c>
      <c r="L598" t="s">
        <v>26</v>
      </c>
    </row>
    <row r="599" spans="2:12">
      <c r="B599" t="s">
        <v>1</v>
      </c>
      <c r="C599" s="4" t="s">
        <v>68</v>
      </c>
      <c r="D599" t="s">
        <v>67</v>
      </c>
      <c r="E599">
        <v>80</v>
      </c>
      <c r="F599">
        <v>2</v>
      </c>
      <c r="G599" s="32">
        <v>2</v>
      </c>
      <c r="H599">
        <v>1</v>
      </c>
      <c r="J599" t="s">
        <v>52</v>
      </c>
      <c r="K599" t="s">
        <v>37</v>
      </c>
      <c r="L599" t="s">
        <v>28</v>
      </c>
    </row>
    <row r="600" spans="2:12">
      <c r="D600" t="s">
        <v>67</v>
      </c>
      <c r="E600">
        <v>90</v>
      </c>
      <c r="F600">
        <v>1</v>
      </c>
      <c r="H600">
        <v>1</v>
      </c>
      <c r="J600" t="s">
        <v>19</v>
      </c>
      <c r="K600" t="s">
        <v>20</v>
      </c>
      <c r="L600" t="s">
        <v>26</v>
      </c>
    </row>
    <row r="601" spans="2:12">
      <c r="D601" t="s">
        <v>67</v>
      </c>
      <c r="E601">
        <v>90</v>
      </c>
      <c r="F601">
        <v>2</v>
      </c>
      <c r="H601">
        <v>0</v>
      </c>
      <c r="J601" t="s">
        <v>53</v>
      </c>
      <c r="L601" t="s">
        <v>28</v>
      </c>
    </row>
    <row r="602" spans="2:12">
      <c r="B602" t="s">
        <v>1</v>
      </c>
      <c r="C602" s="4" t="s">
        <v>68</v>
      </c>
      <c r="D602" t="s">
        <v>67</v>
      </c>
      <c r="E602">
        <v>100</v>
      </c>
      <c r="F602">
        <v>1</v>
      </c>
      <c r="G602" s="32">
        <v>1</v>
      </c>
      <c r="H602">
        <v>1</v>
      </c>
      <c r="J602" t="s">
        <v>19</v>
      </c>
      <c r="K602" t="s">
        <v>20</v>
      </c>
      <c r="L602" t="s">
        <v>26</v>
      </c>
    </row>
    <row r="603" spans="2:12">
      <c r="B603" t="s">
        <v>1</v>
      </c>
      <c r="C603" s="4" t="s">
        <v>68</v>
      </c>
      <c r="D603" t="s">
        <v>67</v>
      </c>
      <c r="E603">
        <v>100</v>
      </c>
      <c r="F603">
        <v>2</v>
      </c>
      <c r="G603" s="32">
        <v>0</v>
      </c>
      <c r="H603">
        <v>0</v>
      </c>
      <c r="J603" t="s">
        <v>52</v>
      </c>
      <c r="L603" t="s">
        <v>28</v>
      </c>
    </row>
    <row r="604" spans="2:12">
      <c r="B604" t="s">
        <v>1</v>
      </c>
      <c r="C604" s="4" t="s">
        <v>68</v>
      </c>
      <c r="D604" t="s">
        <v>67</v>
      </c>
      <c r="E604">
        <v>110</v>
      </c>
      <c r="F604">
        <v>1</v>
      </c>
      <c r="G604" s="32">
        <v>1</v>
      </c>
      <c r="H604">
        <v>1</v>
      </c>
      <c r="J604" t="s">
        <v>19</v>
      </c>
      <c r="K604" t="s">
        <v>20</v>
      </c>
      <c r="L604" t="s">
        <v>26</v>
      </c>
    </row>
    <row r="605" spans="2:12">
      <c r="B605" t="s">
        <v>1</v>
      </c>
      <c r="C605" s="4" t="s">
        <v>68</v>
      </c>
      <c r="D605" t="s">
        <v>67</v>
      </c>
      <c r="E605">
        <v>110</v>
      </c>
      <c r="F605">
        <v>2</v>
      </c>
      <c r="G605" s="32">
        <v>1</v>
      </c>
      <c r="H605">
        <v>1</v>
      </c>
      <c r="J605" t="s">
        <v>52</v>
      </c>
      <c r="K605" t="s">
        <v>37</v>
      </c>
      <c r="L605" t="s">
        <v>28</v>
      </c>
    </row>
    <row r="606" spans="2:12">
      <c r="B606" t="s">
        <v>1</v>
      </c>
      <c r="C606" s="4" t="s">
        <v>68</v>
      </c>
      <c r="D606" t="s">
        <v>67</v>
      </c>
      <c r="E606">
        <v>120</v>
      </c>
      <c r="F606">
        <v>1</v>
      </c>
      <c r="G606" s="32">
        <v>1</v>
      </c>
      <c r="H606">
        <v>1</v>
      </c>
      <c r="J606" t="s">
        <v>19</v>
      </c>
      <c r="K606" t="s">
        <v>20</v>
      </c>
      <c r="L606" t="s">
        <v>26</v>
      </c>
    </row>
    <row r="607" spans="2:12">
      <c r="B607" t="s">
        <v>1</v>
      </c>
      <c r="C607" s="4" t="s">
        <v>68</v>
      </c>
      <c r="D607" t="s">
        <v>67</v>
      </c>
      <c r="E607">
        <v>120</v>
      </c>
      <c r="F607">
        <v>2</v>
      </c>
      <c r="G607" s="32">
        <v>1</v>
      </c>
      <c r="H607">
        <v>1</v>
      </c>
      <c r="J607" t="s">
        <v>52</v>
      </c>
      <c r="K607" t="s">
        <v>37</v>
      </c>
      <c r="L607" t="s">
        <v>28</v>
      </c>
    </row>
    <row r="608" spans="2:12">
      <c r="B608" t="s">
        <v>1</v>
      </c>
      <c r="C608" s="4" t="s">
        <v>68</v>
      </c>
      <c r="D608" t="s">
        <v>67</v>
      </c>
      <c r="E608">
        <v>130</v>
      </c>
      <c r="F608">
        <v>1</v>
      </c>
      <c r="G608" s="32">
        <v>1</v>
      </c>
      <c r="H608">
        <v>1</v>
      </c>
      <c r="J608" t="s">
        <v>52</v>
      </c>
      <c r="K608" t="s">
        <v>37</v>
      </c>
      <c r="L608" t="s">
        <v>28</v>
      </c>
    </row>
    <row r="609" spans="2:12">
      <c r="B609" t="s">
        <v>1</v>
      </c>
      <c r="C609" s="4" t="s">
        <v>68</v>
      </c>
      <c r="D609" t="s">
        <v>67</v>
      </c>
      <c r="E609">
        <v>140</v>
      </c>
      <c r="F609">
        <v>1</v>
      </c>
      <c r="G609" s="32">
        <v>1</v>
      </c>
      <c r="H609">
        <v>1</v>
      </c>
      <c r="J609" t="s">
        <v>52</v>
      </c>
      <c r="K609" t="s">
        <v>37</v>
      </c>
      <c r="L609" t="s">
        <v>28</v>
      </c>
    </row>
    <row r="610" spans="2:12">
      <c r="B610" t="s">
        <v>1</v>
      </c>
      <c r="C610" s="4" t="s">
        <v>68</v>
      </c>
      <c r="D610" t="s">
        <v>67</v>
      </c>
      <c r="E610">
        <v>150</v>
      </c>
      <c r="F610">
        <v>1</v>
      </c>
      <c r="G610" s="32">
        <v>1</v>
      </c>
      <c r="H610">
        <v>1</v>
      </c>
      <c r="J610" t="s">
        <v>52</v>
      </c>
      <c r="K610" t="s">
        <v>33</v>
      </c>
      <c r="L610" t="s">
        <v>28</v>
      </c>
    </row>
    <row r="611" spans="2:12">
      <c r="B611" t="s">
        <v>1</v>
      </c>
      <c r="C611" s="4" t="s">
        <v>68</v>
      </c>
      <c r="D611" t="s">
        <v>67</v>
      </c>
      <c r="E611">
        <v>160</v>
      </c>
      <c r="F611">
        <v>1</v>
      </c>
      <c r="G611" s="32">
        <v>1</v>
      </c>
      <c r="H611">
        <v>1</v>
      </c>
      <c r="J611" t="s">
        <v>19</v>
      </c>
      <c r="K611" t="s">
        <v>20</v>
      </c>
      <c r="L611" t="s">
        <v>26</v>
      </c>
    </row>
    <row r="612" spans="2:12">
      <c r="B612" t="s">
        <v>1</v>
      </c>
      <c r="C612" s="4" t="s">
        <v>68</v>
      </c>
      <c r="D612" t="s">
        <v>67</v>
      </c>
      <c r="E612">
        <v>160</v>
      </c>
      <c r="F612">
        <v>2</v>
      </c>
      <c r="G612" s="32">
        <v>1</v>
      </c>
      <c r="H612">
        <v>1</v>
      </c>
      <c r="J612" t="s">
        <v>52</v>
      </c>
      <c r="K612" t="s">
        <v>37</v>
      </c>
      <c r="L612" t="s">
        <v>28</v>
      </c>
    </row>
    <row r="613" spans="2:12">
      <c r="D613" t="s">
        <v>67</v>
      </c>
      <c r="E613">
        <v>170</v>
      </c>
      <c r="F613">
        <v>1</v>
      </c>
      <c r="H613">
        <v>0</v>
      </c>
      <c r="J613" t="s">
        <v>53</v>
      </c>
      <c r="L613" t="s">
        <v>28</v>
      </c>
    </row>
    <row r="614" spans="2:12">
      <c r="D614" t="s">
        <v>67</v>
      </c>
      <c r="E614">
        <v>180</v>
      </c>
      <c r="F614">
        <v>1</v>
      </c>
      <c r="H614">
        <v>1</v>
      </c>
      <c r="J614" t="s">
        <v>19</v>
      </c>
      <c r="K614" t="s">
        <v>20</v>
      </c>
      <c r="L614" t="s">
        <v>26</v>
      </c>
    </row>
    <row r="615" spans="2:12">
      <c r="D615" t="s">
        <v>67</v>
      </c>
      <c r="E615">
        <v>180</v>
      </c>
      <c r="F615">
        <v>2</v>
      </c>
      <c r="H615">
        <v>0</v>
      </c>
      <c r="J615" t="s">
        <v>53</v>
      </c>
      <c r="L615" t="s">
        <v>28</v>
      </c>
    </row>
    <row r="616" spans="2:12">
      <c r="B616" t="s">
        <v>1</v>
      </c>
      <c r="C616" s="4" t="s">
        <v>68</v>
      </c>
      <c r="D616" t="s">
        <v>67</v>
      </c>
      <c r="E616">
        <v>190</v>
      </c>
      <c r="F616">
        <v>1</v>
      </c>
      <c r="G616" s="32">
        <v>1</v>
      </c>
      <c r="H616">
        <v>1</v>
      </c>
      <c r="J616" t="s">
        <v>52</v>
      </c>
      <c r="K616" t="s">
        <v>33</v>
      </c>
      <c r="L616" t="s">
        <v>28</v>
      </c>
    </row>
    <row r="617" spans="2:12">
      <c r="D617" t="s">
        <v>67</v>
      </c>
      <c r="E617">
        <v>200</v>
      </c>
      <c r="F617">
        <v>1</v>
      </c>
      <c r="H617">
        <v>1</v>
      </c>
      <c r="J617" t="s">
        <v>53</v>
      </c>
      <c r="K617" t="s">
        <v>31</v>
      </c>
      <c r="L617" t="s">
        <v>28</v>
      </c>
    </row>
    <row r="618" spans="2:12">
      <c r="B618" t="s">
        <v>1</v>
      </c>
      <c r="C618" s="4" t="s">
        <v>68</v>
      </c>
      <c r="D618" t="s">
        <v>67</v>
      </c>
      <c r="E618">
        <v>210</v>
      </c>
      <c r="F618">
        <v>1</v>
      </c>
      <c r="G618" s="32">
        <v>1</v>
      </c>
      <c r="H618">
        <v>1</v>
      </c>
      <c r="J618" t="s">
        <v>19</v>
      </c>
      <c r="K618" t="s">
        <v>20</v>
      </c>
      <c r="L618" t="s">
        <v>26</v>
      </c>
    </row>
    <row r="619" spans="2:12">
      <c r="B619" t="s">
        <v>1</v>
      </c>
      <c r="C619" s="4" t="s">
        <v>68</v>
      </c>
      <c r="D619" t="s">
        <v>67</v>
      </c>
      <c r="E619">
        <v>210</v>
      </c>
      <c r="F619">
        <v>2</v>
      </c>
      <c r="G619" s="32">
        <v>2</v>
      </c>
      <c r="H619">
        <v>1</v>
      </c>
      <c r="J619" t="s">
        <v>52</v>
      </c>
      <c r="K619" t="s">
        <v>37</v>
      </c>
      <c r="L619" t="s">
        <v>28</v>
      </c>
    </row>
    <row r="620" spans="2:12">
      <c r="D620" t="s">
        <v>67</v>
      </c>
      <c r="E620">
        <v>220</v>
      </c>
      <c r="F620">
        <v>1</v>
      </c>
      <c r="H620">
        <v>0</v>
      </c>
      <c r="J620" t="s">
        <v>53</v>
      </c>
      <c r="L620" t="s">
        <v>28</v>
      </c>
    </row>
    <row r="621" spans="2:12">
      <c r="B621" t="s">
        <v>1</v>
      </c>
      <c r="C621" s="4" t="s">
        <v>68</v>
      </c>
      <c r="D621" t="s">
        <v>67</v>
      </c>
      <c r="E621">
        <v>230</v>
      </c>
      <c r="F621">
        <v>1</v>
      </c>
      <c r="G621" s="32">
        <v>1</v>
      </c>
      <c r="H621">
        <v>1</v>
      </c>
      <c r="J621" t="s">
        <v>52</v>
      </c>
      <c r="K621" t="s">
        <v>37</v>
      </c>
      <c r="L621" t="s">
        <v>28</v>
      </c>
    </row>
    <row r="622" spans="2:12">
      <c r="D622" t="s">
        <v>67</v>
      </c>
      <c r="E622">
        <v>240</v>
      </c>
      <c r="F622">
        <v>1</v>
      </c>
      <c r="H622">
        <v>0</v>
      </c>
      <c r="J622" t="s">
        <v>53</v>
      </c>
      <c r="L622" t="s">
        <v>28</v>
      </c>
    </row>
    <row r="623" spans="2:12">
      <c r="D623" t="s">
        <v>67</v>
      </c>
      <c r="E623">
        <v>250</v>
      </c>
      <c r="F623">
        <v>1</v>
      </c>
      <c r="H623">
        <v>1</v>
      </c>
      <c r="J623" t="s">
        <v>53</v>
      </c>
      <c r="K623" t="s">
        <v>31</v>
      </c>
      <c r="L623" t="s">
        <v>28</v>
      </c>
    </row>
    <row r="624" spans="2:12">
      <c r="D624" t="s">
        <v>67</v>
      </c>
      <c r="E624">
        <v>260</v>
      </c>
      <c r="F624">
        <v>1</v>
      </c>
      <c r="H624">
        <v>0</v>
      </c>
      <c r="J624" t="s">
        <v>53</v>
      </c>
      <c r="L624" t="s">
        <v>28</v>
      </c>
    </row>
    <row r="625" spans="2:12">
      <c r="B625" t="s">
        <v>1</v>
      </c>
      <c r="C625" s="4" t="s">
        <v>68</v>
      </c>
      <c r="D625" t="s">
        <v>67</v>
      </c>
      <c r="E625">
        <v>270</v>
      </c>
      <c r="F625">
        <v>1</v>
      </c>
      <c r="G625" s="32">
        <v>2</v>
      </c>
      <c r="H625">
        <v>1</v>
      </c>
      <c r="J625" t="s">
        <v>19</v>
      </c>
      <c r="K625" t="s">
        <v>20</v>
      </c>
      <c r="L625" t="s">
        <v>26</v>
      </c>
    </row>
    <row r="626" spans="2:12">
      <c r="B626" t="s">
        <v>1</v>
      </c>
      <c r="C626" s="4" t="s">
        <v>68</v>
      </c>
      <c r="D626" t="s">
        <v>67</v>
      </c>
      <c r="E626">
        <v>270</v>
      </c>
      <c r="F626">
        <v>2</v>
      </c>
      <c r="G626" s="32">
        <v>1</v>
      </c>
      <c r="H626">
        <v>1</v>
      </c>
      <c r="J626" t="s">
        <v>52</v>
      </c>
      <c r="K626" t="s">
        <v>33</v>
      </c>
      <c r="L626" t="s">
        <v>28</v>
      </c>
    </row>
    <row r="627" spans="2:12">
      <c r="B627" t="s">
        <v>1</v>
      </c>
      <c r="C627" s="4" t="s">
        <v>68</v>
      </c>
      <c r="D627" t="s">
        <v>67</v>
      </c>
      <c r="E627">
        <v>280</v>
      </c>
      <c r="F627">
        <v>1</v>
      </c>
      <c r="G627" s="32">
        <v>1</v>
      </c>
      <c r="H627">
        <v>1</v>
      </c>
      <c r="J627" t="s">
        <v>19</v>
      </c>
      <c r="K627" t="s">
        <v>20</v>
      </c>
      <c r="L627" t="s">
        <v>26</v>
      </c>
    </row>
    <row r="628" spans="2:12">
      <c r="B628" t="s">
        <v>1</v>
      </c>
      <c r="C628" s="4" t="s">
        <v>68</v>
      </c>
      <c r="D628" t="s">
        <v>67</v>
      </c>
      <c r="E628">
        <v>280</v>
      </c>
      <c r="F628">
        <v>2</v>
      </c>
      <c r="G628" s="32">
        <v>2</v>
      </c>
      <c r="H628">
        <v>1</v>
      </c>
      <c r="J628" t="s">
        <v>52</v>
      </c>
      <c r="K628" t="s">
        <v>37</v>
      </c>
      <c r="L628" t="s">
        <v>28</v>
      </c>
    </row>
    <row r="629" spans="2:12">
      <c r="B629" t="s">
        <v>1</v>
      </c>
      <c r="C629" s="4" t="s">
        <v>68</v>
      </c>
      <c r="D629" t="s">
        <v>67</v>
      </c>
      <c r="E629">
        <v>290</v>
      </c>
      <c r="F629">
        <v>1</v>
      </c>
      <c r="G629" s="32">
        <v>1</v>
      </c>
      <c r="H629">
        <v>1</v>
      </c>
      <c r="J629" t="s">
        <v>19</v>
      </c>
      <c r="K629" t="s">
        <v>33</v>
      </c>
      <c r="L629" t="s">
        <v>26</v>
      </c>
    </row>
    <row r="630" spans="2:12">
      <c r="B630" t="s">
        <v>1</v>
      </c>
      <c r="C630" s="4" t="s">
        <v>68</v>
      </c>
      <c r="D630" t="s">
        <v>67</v>
      </c>
      <c r="E630">
        <v>290</v>
      </c>
      <c r="F630">
        <v>2</v>
      </c>
      <c r="G630" s="32">
        <v>0</v>
      </c>
      <c r="H630">
        <v>0</v>
      </c>
      <c r="J630" t="s">
        <v>52</v>
      </c>
      <c r="L630" t="s">
        <v>28</v>
      </c>
    </row>
    <row r="631" spans="2:12">
      <c r="B631" t="s">
        <v>1</v>
      </c>
      <c r="C631" s="4" t="s">
        <v>68</v>
      </c>
      <c r="D631" t="s">
        <v>67</v>
      </c>
      <c r="E631">
        <v>300</v>
      </c>
      <c r="F631">
        <v>1</v>
      </c>
      <c r="G631" s="32">
        <v>1</v>
      </c>
      <c r="H631">
        <v>1</v>
      </c>
      <c r="J631" t="s">
        <v>19</v>
      </c>
      <c r="K631" t="s">
        <v>20</v>
      </c>
      <c r="L631" t="s">
        <v>26</v>
      </c>
    </row>
    <row r="632" spans="2:12">
      <c r="B632" t="s">
        <v>1</v>
      </c>
      <c r="C632" s="4" t="s">
        <v>68</v>
      </c>
      <c r="D632" t="s">
        <v>67</v>
      </c>
      <c r="E632">
        <v>300</v>
      </c>
      <c r="F632">
        <v>2</v>
      </c>
      <c r="G632" s="32">
        <v>2</v>
      </c>
      <c r="H632">
        <v>1</v>
      </c>
      <c r="J632" t="s">
        <v>52</v>
      </c>
      <c r="K632" t="s">
        <v>37</v>
      </c>
      <c r="L632" t="s">
        <v>28</v>
      </c>
    </row>
    <row r="633" spans="2:12">
      <c r="D633" t="s">
        <v>67</v>
      </c>
      <c r="E633">
        <v>310</v>
      </c>
      <c r="F633">
        <v>1</v>
      </c>
      <c r="H633">
        <v>1</v>
      </c>
      <c r="J633" t="s">
        <v>53</v>
      </c>
      <c r="K633" t="s">
        <v>31</v>
      </c>
      <c r="L633" t="s">
        <v>28</v>
      </c>
    </row>
    <row r="634" spans="2:12">
      <c r="B634" t="s">
        <v>1</v>
      </c>
      <c r="C634" s="4" t="s">
        <v>68</v>
      </c>
      <c r="D634" t="s">
        <v>67</v>
      </c>
      <c r="E634">
        <v>320</v>
      </c>
      <c r="F634">
        <v>1</v>
      </c>
      <c r="G634" s="32">
        <v>1</v>
      </c>
      <c r="H634">
        <v>1</v>
      </c>
      <c r="J634" t="s">
        <v>19</v>
      </c>
      <c r="K634" t="s">
        <v>20</v>
      </c>
      <c r="L634" t="s">
        <v>26</v>
      </c>
    </row>
    <row r="635" spans="2:12">
      <c r="B635" t="s">
        <v>1</v>
      </c>
      <c r="C635" s="4" t="s">
        <v>68</v>
      </c>
      <c r="D635" t="s">
        <v>67</v>
      </c>
      <c r="E635">
        <v>320</v>
      </c>
      <c r="F635">
        <v>2</v>
      </c>
      <c r="G635" s="32">
        <v>1</v>
      </c>
      <c r="H635">
        <v>1</v>
      </c>
      <c r="J635" t="s">
        <v>52</v>
      </c>
      <c r="K635" t="s">
        <v>37</v>
      </c>
      <c r="L635" t="s">
        <v>28</v>
      </c>
    </row>
    <row r="636" spans="2:12">
      <c r="B636" t="s">
        <v>1</v>
      </c>
      <c r="C636" s="4" t="s">
        <v>68</v>
      </c>
      <c r="D636" t="s">
        <v>67</v>
      </c>
      <c r="E636">
        <v>330</v>
      </c>
      <c r="F636">
        <v>1</v>
      </c>
      <c r="G636" s="32">
        <v>1</v>
      </c>
      <c r="H636">
        <v>1</v>
      </c>
      <c r="J636" t="s">
        <v>19</v>
      </c>
      <c r="K636" t="s">
        <v>20</v>
      </c>
      <c r="L636" t="s">
        <v>26</v>
      </c>
    </row>
    <row r="637" spans="2:12">
      <c r="B637" t="s">
        <v>1</v>
      </c>
      <c r="C637" s="4" t="s">
        <v>68</v>
      </c>
      <c r="D637" t="s">
        <v>67</v>
      </c>
      <c r="E637">
        <v>330</v>
      </c>
      <c r="F637">
        <v>2</v>
      </c>
      <c r="G637" s="32">
        <v>2</v>
      </c>
      <c r="H637">
        <v>1</v>
      </c>
      <c r="J637" t="s">
        <v>52</v>
      </c>
      <c r="K637" t="s">
        <v>37</v>
      </c>
      <c r="L637" t="s">
        <v>28</v>
      </c>
    </row>
    <row r="638" spans="2:12">
      <c r="B638" t="s">
        <v>1</v>
      </c>
      <c r="C638" s="5" t="s">
        <v>68</v>
      </c>
      <c r="D638" s="1" t="s">
        <v>69</v>
      </c>
      <c r="E638">
        <v>0</v>
      </c>
      <c r="F638">
        <v>1</v>
      </c>
      <c r="G638" s="32">
        <v>1</v>
      </c>
      <c r="H638">
        <v>1</v>
      </c>
      <c r="J638" t="s">
        <v>19</v>
      </c>
      <c r="K638" t="s">
        <v>20</v>
      </c>
      <c r="L638" t="s">
        <v>26</v>
      </c>
    </row>
    <row r="639" spans="2:12">
      <c r="B639" t="s">
        <v>1</v>
      </c>
      <c r="C639" s="5" t="s">
        <v>68</v>
      </c>
      <c r="D639" s="1" t="s">
        <v>69</v>
      </c>
      <c r="E639">
        <v>0</v>
      </c>
      <c r="F639">
        <v>2</v>
      </c>
      <c r="G639" s="32">
        <v>1</v>
      </c>
      <c r="H639">
        <v>1</v>
      </c>
      <c r="J639" t="s">
        <v>52</v>
      </c>
      <c r="K639" t="s">
        <v>37</v>
      </c>
      <c r="L639" t="s">
        <v>28</v>
      </c>
    </row>
    <row r="640" spans="2:12">
      <c r="D640" s="34" t="s">
        <v>69</v>
      </c>
      <c r="E640">
        <v>10</v>
      </c>
      <c r="F640">
        <v>1</v>
      </c>
      <c r="H640">
        <v>1</v>
      </c>
      <c r="J640" t="s">
        <v>19</v>
      </c>
      <c r="K640" t="s">
        <v>20</v>
      </c>
      <c r="L640" t="s">
        <v>26</v>
      </c>
    </row>
    <row r="641" spans="2:12">
      <c r="D641" s="34" t="s">
        <v>69</v>
      </c>
      <c r="E641">
        <v>20</v>
      </c>
      <c r="F641">
        <v>1</v>
      </c>
      <c r="H641">
        <v>1</v>
      </c>
      <c r="J641" t="s">
        <v>19</v>
      </c>
      <c r="K641" t="s">
        <v>20</v>
      </c>
      <c r="L641" t="s">
        <v>26</v>
      </c>
    </row>
    <row r="642" spans="2:12">
      <c r="D642" s="34" t="s">
        <v>69</v>
      </c>
      <c r="E642">
        <v>20</v>
      </c>
      <c r="F642">
        <v>2</v>
      </c>
      <c r="H642">
        <v>1</v>
      </c>
      <c r="J642" t="s">
        <v>57</v>
      </c>
      <c r="K642" t="s">
        <v>34</v>
      </c>
      <c r="L642" t="s">
        <v>28</v>
      </c>
    </row>
    <row r="643" spans="2:12">
      <c r="D643" s="34" t="s">
        <v>69</v>
      </c>
      <c r="E643">
        <v>30</v>
      </c>
      <c r="F643">
        <v>1</v>
      </c>
      <c r="H643">
        <v>1</v>
      </c>
      <c r="J643" t="s">
        <v>19</v>
      </c>
      <c r="K643" t="s">
        <v>20</v>
      </c>
      <c r="L643" t="s">
        <v>26</v>
      </c>
    </row>
    <row r="644" spans="2:12">
      <c r="D644" s="34" t="s">
        <v>69</v>
      </c>
      <c r="E644">
        <v>30</v>
      </c>
      <c r="F644">
        <v>2</v>
      </c>
      <c r="H644">
        <v>1</v>
      </c>
      <c r="J644" t="s">
        <v>57</v>
      </c>
      <c r="K644" t="s">
        <v>34</v>
      </c>
      <c r="L644" t="s">
        <v>28</v>
      </c>
    </row>
    <row r="645" spans="2:12">
      <c r="B645" t="s">
        <v>1</v>
      </c>
      <c r="C645" s="5" t="s">
        <v>68</v>
      </c>
      <c r="D645" s="1" t="s">
        <v>69</v>
      </c>
      <c r="E645">
        <v>40</v>
      </c>
      <c r="F645">
        <v>1</v>
      </c>
      <c r="G645" s="32">
        <v>1</v>
      </c>
      <c r="H645">
        <v>1</v>
      </c>
      <c r="J645" t="s">
        <v>19</v>
      </c>
      <c r="K645" t="s">
        <v>33</v>
      </c>
      <c r="L645" t="s">
        <v>26</v>
      </c>
    </row>
    <row r="646" spans="2:12">
      <c r="B646" t="s">
        <v>1</v>
      </c>
      <c r="C646" s="5" t="s">
        <v>68</v>
      </c>
      <c r="D646" s="1" t="s">
        <v>69</v>
      </c>
      <c r="E646">
        <v>40</v>
      </c>
      <c r="F646">
        <v>2</v>
      </c>
      <c r="G646" s="32">
        <v>2</v>
      </c>
      <c r="H646">
        <v>1</v>
      </c>
      <c r="J646" t="s">
        <v>47</v>
      </c>
      <c r="K646" t="s">
        <v>33</v>
      </c>
      <c r="L646" t="s">
        <v>28</v>
      </c>
    </row>
    <row r="647" spans="2:12">
      <c r="B647" t="s">
        <v>1</v>
      </c>
      <c r="C647" s="5" t="s">
        <v>68</v>
      </c>
      <c r="D647" s="1" t="s">
        <v>69</v>
      </c>
      <c r="E647">
        <v>50</v>
      </c>
      <c r="F647">
        <v>1</v>
      </c>
      <c r="G647" s="32">
        <v>1</v>
      </c>
      <c r="H647">
        <v>1</v>
      </c>
      <c r="J647" t="s">
        <v>19</v>
      </c>
      <c r="K647" t="s">
        <v>20</v>
      </c>
      <c r="L647" t="s">
        <v>26</v>
      </c>
    </row>
    <row r="648" spans="2:12">
      <c r="D648" s="34" t="s">
        <v>69</v>
      </c>
      <c r="E648">
        <v>60</v>
      </c>
      <c r="F648">
        <v>1</v>
      </c>
      <c r="H648">
        <v>0</v>
      </c>
      <c r="J648" t="s">
        <v>53</v>
      </c>
      <c r="L648" t="s">
        <v>28</v>
      </c>
    </row>
    <row r="649" spans="2:12">
      <c r="D649" s="34" t="s">
        <v>69</v>
      </c>
      <c r="E649">
        <v>70</v>
      </c>
      <c r="F649">
        <v>1</v>
      </c>
      <c r="H649">
        <v>1</v>
      </c>
      <c r="J649" t="s">
        <v>53</v>
      </c>
      <c r="K649" t="s">
        <v>31</v>
      </c>
      <c r="L649" t="s">
        <v>28</v>
      </c>
    </row>
    <row r="650" spans="2:12">
      <c r="D650" s="34" t="s">
        <v>69</v>
      </c>
      <c r="E650">
        <v>80</v>
      </c>
      <c r="F650">
        <v>1</v>
      </c>
      <c r="H650">
        <v>1</v>
      </c>
      <c r="I650" t="s">
        <v>70</v>
      </c>
      <c r="J650" t="s">
        <v>19</v>
      </c>
      <c r="K650" t="s">
        <v>20</v>
      </c>
      <c r="L650" t="s">
        <v>26</v>
      </c>
    </row>
    <row r="651" spans="2:12">
      <c r="D651" s="34" t="s">
        <v>69</v>
      </c>
      <c r="E651">
        <v>80</v>
      </c>
      <c r="F651">
        <v>2</v>
      </c>
      <c r="H651">
        <v>0</v>
      </c>
      <c r="J651" t="s">
        <v>53</v>
      </c>
      <c r="L651" t="s">
        <v>28</v>
      </c>
    </row>
    <row r="652" spans="2:12">
      <c r="D652" s="34" t="s">
        <v>69</v>
      </c>
      <c r="E652">
        <v>90</v>
      </c>
      <c r="F652">
        <v>1</v>
      </c>
      <c r="H652">
        <v>1</v>
      </c>
      <c r="J652" t="s">
        <v>53</v>
      </c>
      <c r="K652" t="s">
        <v>34</v>
      </c>
      <c r="L652" t="s">
        <v>28</v>
      </c>
    </row>
    <row r="653" spans="2:12">
      <c r="D653" s="34" t="s">
        <v>69</v>
      </c>
      <c r="E653">
        <v>100</v>
      </c>
      <c r="F653">
        <v>1</v>
      </c>
      <c r="H653">
        <v>0</v>
      </c>
      <c r="J653" t="s">
        <v>53</v>
      </c>
      <c r="L653" t="s">
        <v>28</v>
      </c>
    </row>
    <row r="654" spans="2:12">
      <c r="D654" s="34" t="s">
        <v>69</v>
      </c>
      <c r="E654">
        <v>110</v>
      </c>
      <c r="F654">
        <v>1</v>
      </c>
      <c r="H654">
        <v>0</v>
      </c>
      <c r="J654" t="s">
        <v>53</v>
      </c>
      <c r="L654" t="s">
        <v>28</v>
      </c>
    </row>
    <row r="655" spans="2:12">
      <c r="B655" t="s">
        <v>1</v>
      </c>
      <c r="C655" s="5" t="s">
        <v>68</v>
      </c>
      <c r="D655" s="1" t="s">
        <v>69</v>
      </c>
      <c r="E655">
        <v>120</v>
      </c>
      <c r="F655">
        <v>1</v>
      </c>
      <c r="G655" s="32">
        <v>1</v>
      </c>
      <c r="H655">
        <v>1</v>
      </c>
      <c r="J655" t="s">
        <v>19</v>
      </c>
      <c r="K655" t="s">
        <v>20</v>
      </c>
      <c r="L655" t="s">
        <v>26</v>
      </c>
    </row>
    <row r="656" spans="2:12">
      <c r="B656" t="s">
        <v>1</v>
      </c>
      <c r="C656" s="5" t="s">
        <v>68</v>
      </c>
      <c r="D656" s="1" t="s">
        <v>69</v>
      </c>
      <c r="E656">
        <v>120</v>
      </c>
      <c r="F656">
        <v>2</v>
      </c>
      <c r="G656" s="32">
        <v>2</v>
      </c>
      <c r="H656">
        <v>1</v>
      </c>
      <c r="J656" t="s">
        <v>42</v>
      </c>
      <c r="K656" t="s">
        <v>20</v>
      </c>
      <c r="L656" t="s">
        <v>26</v>
      </c>
    </row>
    <row r="657" spans="2:12">
      <c r="B657" t="s">
        <v>1</v>
      </c>
      <c r="C657" s="5" t="s">
        <v>68</v>
      </c>
      <c r="D657" s="1" t="s">
        <v>69</v>
      </c>
      <c r="E657">
        <v>120</v>
      </c>
      <c r="F657">
        <v>3</v>
      </c>
      <c r="G657" s="32">
        <v>0</v>
      </c>
      <c r="H657">
        <v>0</v>
      </c>
      <c r="J657" t="s">
        <v>52</v>
      </c>
      <c r="L657" t="s">
        <v>28</v>
      </c>
    </row>
    <row r="658" spans="2:12">
      <c r="D658" s="34" t="s">
        <v>69</v>
      </c>
      <c r="E658">
        <v>130</v>
      </c>
      <c r="F658">
        <v>1</v>
      </c>
      <c r="H658">
        <v>1</v>
      </c>
      <c r="J658" t="s">
        <v>19</v>
      </c>
      <c r="K658" t="s">
        <v>20</v>
      </c>
      <c r="L658" t="s">
        <v>26</v>
      </c>
    </row>
    <row r="659" spans="2:12">
      <c r="D659" s="34" t="s">
        <v>69</v>
      </c>
      <c r="E659">
        <v>140</v>
      </c>
      <c r="F659">
        <v>1</v>
      </c>
      <c r="H659">
        <v>1</v>
      </c>
      <c r="I659" t="s">
        <v>70</v>
      </c>
      <c r="J659" t="s">
        <v>19</v>
      </c>
      <c r="K659" t="s">
        <v>20</v>
      </c>
      <c r="L659" t="s">
        <v>26</v>
      </c>
    </row>
    <row r="660" spans="2:12">
      <c r="D660" s="34" t="s">
        <v>69</v>
      </c>
      <c r="E660">
        <v>140</v>
      </c>
      <c r="F660">
        <v>2</v>
      </c>
      <c r="H660">
        <v>1</v>
      </c>
      <c r="J660" t="s">
        <v>57</v>
      </c>
      <c r="K660" t="s">
        <v>34</v>
      </c>
      <c r="L660" t="s">
        <v>28</v>
      </c>
    </row>
    <row r="661" spans="2:12">
      <c r="D661" s="34" t="s">
        <v>69</v>
      </c>
      <c r="E661">
        <v>150</v>
      </c>
      <c r="F661">
        <v>1</v>
      </c>
      <c r="H661">
        <v>1</v>
      </c>
      <c r="J661" t="s">
        <v>19</v>
      </c>
      <c r="K661" t="s">
        <v>20</v>
      </c>
      <c r="L661" t="s">
        <v>26</v>
      </c>
    </row>
    <row r="662" spans="2:12">
      <c r="D662" s="34" t="s">
        <v>69</v>
      </c>
      <c r="E662">
        <v>150</v>
      </c>
      <c r="F662">
        <v>2</v>
      </c>
      <c r="H662">
        <v>1</v>
      </c>
      <c r="J662" t="s">
        <v>57</v>
      </c>
      <c r="K662" t="s">
        <v>34</v>
      </c>
      <c r="L662" t="s">
        <v>28</v>
      </c>
    </row>
    <row r="663" spans="2:12">
      <c r="D663" s="34" t="s">
        <v>69</v>
      </c>
      <c r="E663">
        <v>160</v>
      </c>
      <c r="F663">
        <v>1</v>
      </c>
      <c r="H663">
        <v>1</v>
      </c>
      <c r="I663" t="s">
        <v>70</v>
      </c>
      <c r="J663" t="s">
        <v>19</v>
      </c>
      <c r="K663" t="s">
        <v>20</v>
      </c>
      <c r="L663" t="s">
        <v>26</v>
      </c>
    </row>
    <row r="664" spans="2:12">
      <c r="D664" s="34" t="s">
        <v>69</v>
      </c>
      <c r="E664">
        <v>160</v>
      </c>
      <c r="F664">
        <v>2</v>
      </c>
      <c r="H664">
        <v>1</v>
      </c>
      <c r="J664" t="s">
        <v>57</v>
      </c>
      <c r="K664" t="s">
        <v>34</v>
      </c>
      <c r="L664" t="s">
        <v>28</v>
      </c>
    </row>
    <row r="665" spans="2:12">
      <c r="D665" s="34" t="s">
        <v>69</v>
      </c>
      <c r="E665">
        <v>170</v>
      </c>
      <c r="F665">
        <v>1</v>
      </c>
      <c r="H665">
        <v>1</v>
      </c>
      <c r="J665" t="s">
        <v>53</v>
      </c>
      <c r="K665" t="s">
        <v>34</v>
      </c>
      <c r="L665" t="s">
        <v>28</v>
      </c>
    </row>
    <row r="666" spans="2:12">
      <c r="B666" t="s">
        <v>1</v>
      </c>
      <c r="C666" s="5" t="s">
        <v>68</v>
      </c>
      <c r="D666" s="1" t="s">
        <v>69</v>
      </c>
      <c r="E666">
        <v>180</v>
      </c>
      <c r="F666">
        <v>1</v>
      </c>
      <c r="G666" s="32">
        <v>1</v>
      </c>
      <c r="H666">
        <v>1</v>
      </c>
      <c r="J666" t="s">
        <v>52</v>
      </c>
      <c r="K666" t="s">
        <v>37</v>
      </c>
      <c r="L666" t="s">
        <v>28</v>
      </c>
    </row>
    <row r="667" spans="2:12">
      <c r="B667" t="s">
        <v>1</v>
      </c>
      <c r="C667" s="5" t="s">
        <v>68</v>
      </c>
      <c r="D667" s="1" t="s">
        <v>69</v>
      </c>
      <c r="E667">
        <v>190</v>
      </c>
      <c r="F667">
        <v>1</v>
      </c>
      <c r="G667" s="32">
        <v>1</v>
      </c>
      <c r="H667">
        <v>1</v>
      </c>
      <c r="J667" t="s">
        <v>19</v>
      </c>
      <c r="K667" t="s">
        <v>20</v>
      </c>
      <c r="L667" t="s">
        <v>26</v>
      </c>
    </row>
    <row r="668" spans="2:12">
      <c r="B668" t="s">
        <v>1</v>
      </c>
      <c r="C668" s="5" t="s">
        <v>68</v>
      </c>
      <c r="D668" s="1" t="s">
        <v>69</v>
      </c>
      <c r="E668">
        <v>200</v>
      </c>
      <c r="F668">
        <v>1</v>
      </c>
      <c r="G668" s="32">
        <v>1</v>
      </c>
      <c r="H668">
        <v>1</v>
      </c>
      <c r="J668" t="s">
        <v>19</v>
      </c>
      <c r="K668" t="s">
        <v>20</v>
      </c>
      <c r="L668" t="s">
        <v>26</v>
      </c>
    </row>
    <row r="669" spans="2:12">
      <c r="B669" t="s">
        <v>1</v>
      </c>
      <c r="C669" s="5" t="s">
        <v>68</v>
      </c>
      <c r="D669" s="1" t="s">
        <v>69</v>
      </c>
      <c r="E669">
        <v>210</v>
      </c>
      <c r="F669">
        <v>1</v>
      </c>
      <c r="G669" s="32">
        <v>1</v>
      </c>
      <c r="H669">
        <v>1</v>
      </c>
      <c r="J669" t="s">
        <v>19</v>
      </c>
      <c r="K669" t="s">
        <v>20</v>
      </c>
      <c r="L669" t="s">
        <v>26</v>
      </c>
    </row>
    <row r="670" spans="2:12">
      <c r="B670" t="s">
        <v>1</v>
      </c>
      <c r="C670" s="5" t="s">
        <v>68</v>
      </c>
      <c r="D670" s="1" t="s">
        <v>69</v>
      </c>
      <c r="E670">
        <v>210</v>
      </c>
      <c r="F670">
        <v>2</v>
      </c>
      <c r="G670" s="32">
        <v>1</v>
      </c>
      <c r="H670">
        <v>1</v>
      </c>
      <c r="J670" t="s">
        <v>47</v>
      </c>
      <c r="K670" t="s">
        <v>33</v>
      </c>
      <c r="L670" t="s">
        <v>28</v>
      </c>
    </row>
    <row r="671" spans="2:12">
      <c r="B671" t="s">
        <v>1</v>
      </c>
      <c r="C671" s="5" t="s">
        <v>68</v>
      </c>
      <c r="D671" s="1" t="s">
        <v>69</v>
      </c>
      <c r="E671">
        <v>220</v>
      </c>
      <c r="F671">
        <v>1</v>
      </c>
      <c r="G671" s="32">
        <v>1</v>
      </c>
      <c r="H671">
        <v>1</v>
      </c>
      <c r="J671" t="s">
        <v>19</v>
      </c>
      <c r="K671" t="s">
        <v>20</v>
      </c>
      <c r="L671" t="s">
        <v>26</v>
      </c>
    </row>
    <row r="672" spans="2:12">
      <c r="B672" t="s">
        <v>1</v>
      </c>
      <c r="C672" s="5" t="s">
        <v>68</v>
      </c>
      <c r="D672" s="1" t="s">
        <v>69</v>
      </c>
      <c r="E672">
        <v>220</v>
      </c>
      <c r="F672">
        <v>2</v>
      </c>
      <c r="G672" s="32">
        <v>1</v>
      </c>
      <c r="H672">
        <v>1</v>
      </c>
      <c r="J672" t="s">
        <v>47</v>
      </c>
      <c r="K672" t="s">
        <v>33</v>
      </c>
      <c r="L672" t="s">
        <v>28</v>
      </c>
    </row>
    <row r="673" spans="2:12">
      <c r="B673" t="s">
        <v>1</v>
      </c>
      <c r="C673" s="5" t="s">
        <v>68</v>
      </c>
      <c r="D673" s="1" t="s">
        <v>69</v>
      </c>
      <c r="E673">
        <v>230</v>
      </c>
      <c r="F673">
        <v>1</v>
      </c>
      <c r="G673" s="32">
        <v>1</v>
      </c>
      <c r="H673">
        <v>1</v>
      </c>
      <c r="J673" t="s">
        <v>19</v>
      </c>
      <c r="K673" t="s">
        <v>20</v>
      </c>
      <c r="L673" t="s">
        <v>26</v>
      </c>
    </row>
    <row r="674" spans="2:12">
      <c r="B674" t="s">
        <v>1</v>
      </c>
      <c r="C674" s="5" t="s">
        <v>68</v>
      </c>
      <c r="D674" s="1" t="s">
        <v>69</v>
      </c>
      <c r="E674">
        <v>230</v>
      </c>
      <c r="F674">
        <v>2</v>
      </c>
      <c r="G674" s="32">
        <v>2</v>
      </c>
      <c r="H674">
        <v>1</v>
      </c>
      <c r="J674" t="s">
        <v>47</v>
      </c>
      <c r="K674" t="s">
        <v>33</v>
      </c>
      <c r="L674" t="s">
        <v>28</v>
      </c>
    </row>
    <row r="675" spans="2:12">
      <c r="B675" t="s">
        <v>1</v>
      </c>
      <c r="C675" s="5" t="s">
        <v>68</v>
      </c>
      <c r="D675" s="1" t="s">
        <v>69</v>
      </c>
      <c r="E675">
        <v>240</v>
      </c>
      <c r="F675">
        <v>1</v>
      </c>
      <c r="G675" s="32">
        <v>1</v>
      </c>
      <c r="H675">
        <v>1</v>
      </c>
      <c r="J675" t="s">
        <v>19</v>
      </c>
      <c r="K675" t="s">
        <v>20</v>
      </c>
      <c r="L675" t="s">
        <v>26</v>
      </c>
    </row>
    <row r="676" spans="2:12">
      <c r="B676" t="s">
        <v>1</v>
      </c>
      <c r="C676" s="5" t="s">
        <v>68</v>
      </c>
      <c r="D676" s="1" t="s">
        <v>69</v>
      </c>
      <c r="E676">
        <v>240</v>
      </c>
      <c r="F676">
        <v>2</v>
      </c>
      <c r="G676" s="32">
        <v>0</v>
      </c>
      <c r="H676">
        <v>0</v>
      </c>
      <c r="J676" t="s">
        <v>47</v>
      </c>
      <c r="L676" t="s">
        <v>28</v>
      </c>
    </row>
    <row r="677" spans="2:12">
      <c r="B677" t="s">
        <v>1</v>
      </c>
      <c r="C677" s="5" t="s">
        <v>68</v>
      </c>
      <c r="D677" s="1" t="s">
        <v>69</v>
      </c>
      <c r="E677">
        <v>250</v>
      </c>
      <c r="F677">
        <v>1</v>
      </c>
      <c r="G677" s="32">
        <v>1</v>
      </c>
      <c r="H677">
        <v>1</v>
      </c>
      <c r="J677" t="s">
        <v>19</v>
      </c>
      <c r="K677" t="s">
        <v>20</v>
      </c>
      <c r="L677" t="s">
        <v>26</v>
      </c>
    </row>
    <row r="678" spans="2:12">
      <c r="B678" t="s">
        <v>1</v>
      </c>
      <c r="C678" s="5" t="s">
        <v>68</v>
      </c>
      <c r="D678" s="1" t="s">
        <v>69</v>
      </c>
      <c r="E678">
        <v>250</v>
      </c>
      <c r="F678">
        <v>2</v>
      </c>
      <c r="G678" s="32">
        <v>2</v>
      </c>
      <c r="H678">
        <v>1</v>
      </c>
      <c r="J678" t="s">
        <v>47</v>
      </c>
      <c r="K678" t="s">
        <v>33</v>
      </c>
      <c r="L678" t="s">
        <v>28</v>
      </c>
    </row>
    <row r="679" spans="2:12">
      <c r="B679" t="s">
        <v>1</v>
      </c>
      <c r="C679" s="5" t="s">
        <v>68</v>
      </c>
      <c r="D679" s="1" t="s">
        <v>69</v>
      </c>
      <c r="E679">
        <v>260</v>
      </c>
      <c r="F679">
        <v>1</v>
      </c>
      <c r="G679" s="32">
        <v>1</v>
      </c>
      <c r="H679">
        <v>1</v>
      </c>
      <c r="J679" t="s">
        <v>19</v>
      </c>
      <c r="K679" t="s">
        <v>20</v>
      </c>
      <c r="L679" t="s">
        <v>26</v>
      </c>
    </row>
    <row r="680" spans="2:12">
      <c r="B680" t="s">
        <v>1</v>
      </c>
      <c r="C680" s="5" t="s">
        <v>68</v>
      </c>
      <c r="D680" s="1" t="s">
        <v>69</v>
      </c>
      <c r="E680">
        <v>260</v>
      </c>
      <c r="F680">
        <v>2</v>
      </c>
      <c r="G680" s="32">
        <v>3</v>
      </c>
      <c r="H680">
        <v>0</v>
      </c>
      <c r="J680" s="12" t="s">
        <v>46</v>
      </c>
    </row>
    <row r="681" spans="2:12">
      <c r="B681" t="s">
        <v>1</v>
      </c>
      <c r="C681" s="5" t="s">
        <v>68</v>
      </c>
      <c r="D681" s="1" t="s">
        <v>69</v>
      </c>
      <c r="E681">
        <v>260</v>
      </c>
      <c r="F681">
        <v>3</v>
      </c>
      <c r="G681" s="32">
        <v>2</v>
      </c>
      <c r="H681">
        <v>1</v>
      </c>
      <c r="J681" t="s">
        <v>47</v>
      </c>
      <c r="K681" t="s">
        <v>33</v>
      </c>
      <c r="L681" t="s">
        <v>28</v>
      </c>
    </row>
    <row r="682" spans="2:12">
      <c r="B682" t="s">
        <v>1</v>
      </c>
      <c r="C682" s="5" t="s">
        <v>68</v>
      </c>
      <c r="D682" s="1" t="s">
        <v>69</v>
      </c>
      <c r="E682">
        <v>270</v>
      </c>
      <c r="F682">
        <v>1</v>
      </c>
      <c r="G682" s="32">
        <v>1</v>
      </c>
      <c r="H682">
        <v>1</v>
      </c>
      <c r="J682" t="s">
        <v>19</v>
      </c>
      <c r="K682" t="s">
        <v>20</v>
      </c>
      <c r="L682" t="s">
        <v>26</v>
      </c>
    </row>
    <row r="683" spans="2:12">
      <c r="B683" t="s">
        <v>1</v>
      </c>
      <c r="C683" s="5" t="s">
        <v>68</v>
      </c>
      <c r="D683" s="1" t="s">
        <v>69</v>
      </c>
      <c r="E683">
        <v>270</v>
      </c>
      <c r="F683">
        <v>2</v>
      </c>
      <c r="G683" s="32">
        <v>3</v>
      </c>
      <c r="H683">
        <v>0</v>
      </c>
      <c r="J683" s="12" t="s">
        <v>46</v>
      </c>
    </row>
    <row r="684" spans="2:12">
      <c r="B684" t="s">
        <v>1</v>
      </c>
      <c r="C684" s="5" t="s">
        <v>68</v>
      </c>
      <c r="D684" s="1" t="s">
        <v>69</v>
      </c>
      <c r="E684">
        <v>270</v>
      </c>
      <c r="F684">
        <v>3</v>
      </c>
      <c r="G684" s="32">
        <v>1</v>
      </c>
      <c r="H684">
        <v>1</v>
      </c>
      <c r="J684" t="s">
        <v>47</v>
      </c>
      <c r="K684" t="s">
        <v>33</v>
      </c>
      <c r="L684" t="s">
        <v>28</v>
      </c>
    </row>
    <row r="685" spans="2:12">
      <c r="B685" t="s">
        <v>1</v>
      </c>
      <c r="C685" s="5" t="s">
        <v>68</v>
      </c>
      <c r="D685" s="1" t="s">
        <v>69</v>
      </c>
      <c r="E685">
        <v>280</v>
      </c>
      <c r="F685">
        <v>1</v>
      </c>
      <c r="G685" s="32">
        <v>1</v>
      </c>
      <c r="H685">
        <v>1</v>
      </c>
      <c r="J685" t="s">
        <v>19</v>
      </c>
      <c r="K685" t="s">
        <v>20</v>
      </c>
      <c r="L685" t="s">
        <v>26</v>
      </c>
    </row>
    <row r="686" spans="2:12">
      <c r="B686" t="s">
        <v>1</v>
      </c>
      <c r="C686" s="5" t="s">
        <v>68</v>
      </c>
      <c r="D686" s="1" t="s">
        <v>69</v>
      </c>
      <c r="E686">
        <v>280</v>
      </c>
      <c r="F686">
        <v>1</v>
      </c>
      <c r="G686" s="32">
        <v>1</v>
      </c>
      <c r="H686">
        <v>1</v>
      </c>
      <c r="J686" t="s">
        <v>47</v>
      </c>
      <c r="K686" t="s">
        <v>36</v>
      </c>
      <c r="L686" t="s">
        <v>28</v>
      </c>
    </row>
    <row r="687" spans="2:12">
      <c r="D687" s="34" t="s">
        <v>69</v>
      </c>
      <c r="E687">
        <v>290</v>
      </c>
      <c r="F687">
        <v>1</v>
      </c>
      <c r="H687">
        <v>1</v>
      </c>
      <c r="J687" t="s">
        <v>19</v>
      </c>
      <c r="K687" t="s">
        <v>20</v>
      </c>
      <c r="L687" t="s">
        <v>26</v>
      </c>
    </row>
    <row r="688" spans="2:12">
      <c r="D688" s="34" t="s">
        <v>69</v>
      </c>
      <c r="E688">
        <v>300</v>
      </c>
      <c r="F688">
        <v>1</v>
      </c>
      <c r="H688">
        <v>1</v>
      </c>
      <c r="J688" t="s">
        <v>19</v>
      </c>
      <c r="K688" t="s">
        <v>20</v>
      </c>
      <c r="L688" t="s">
        <v>26</v>
      </c>
    </row>
    <row r="689" spans="2:12">
      <c r="D689" s="34" t="s">
        <v>69</v>
      </c>
      <c r="E689">
        <v>300</v>
      </c>
      <c r="F689">
        <v>2</v>
      </c>
      <c r="H689">
        <v>1</v>
      </c>
      <c r="J689" t="s">
        <v>53</v>
      </c>
      <c r="K689" t="s">
        <v>34</v>
      </c>
      <c r="L689" t="s">
        <v>28</v>
      </c>
    </row>
    <row r="690" spans="2:12">
      <c r="B690" t="s">
        <v>1</v>
      </c>
      <c r="C690" s="5" t="s">
        <v>68</v>
      </c>
      <c r="D690" s="1" t="s">
        <v>69</v>
      </c>
      <c r="E690">
        <v>310</v>
      </c>
      <c r="F690">
        <v>1</v>
      </c>
      <c r="G690" s="32">
        <v>1</v>
      </c>
      <c r="H690">
        <v>1</v>
      </c>
      <c r="J690" t="s">
        <v>52</v>
      </c>
      <c r="K690" t="s">
        <v>37</v>
      </c>
      <c r="L690" t="s">
        <v>28</v>
      </c>
    </row>
    <row r="691" spans="2:12">
      <c r="D691" s="34" t="s">
        <v>69</v>
      </c>
      <c r="E691">
        <v>320</v>
      </c>
      <c r="F691">
        <v>1</v>
      </c>
      <c r="H691">
        <v>1</v>
      </c>
      <c r="J691" t="s">
        <v>53</v>
      </c>
      <c r="K691" t="s">
        <v>31</v>
      </c>
      <c r="L691" t="s">
        <v>28</v>
      </c>
    </row>
    <row r="692" spans="2:12">
      <c r="B692" t="s">
        <v>1</v>
      </c>
      <c r="C692" s="5" t="s">
        <v>68</v>
      </c>
      <c r="D692" s="1" t="s">
        <v>69</v>
      </c>
      <c r="E692">
        <v>330</v>
      </c>
      <c r="F692">
        <v>1</v>
      </c>
      <c r="G692" s="32">
        <v>1</v>
      </c>
      <c r="H692">
        <v>1</v>
      </c>
      <c r="J692" t="s">
        <v>19</v>
      </c>
      <c r="K692" t="s">
        <v>20</v>
      </c>
      <c r="L692" t="s">
        <v>26</v>
      </c>
    </row>
    <row r="693" spans="2:12">
      <c r="B693" t="s">
        <v>1</v>
      </c>
      <c r="C693" s="5" t="s">
        <v>68</v>
      </c>
      <c r="D693" s="1" t="s">
        <v>69</v>
      </c>
      <c r="E693">
        <v>330</v>
      </c>
      <c r="F693">
        <v>1</v>
      </c>
      <c r="G693" s="32">
        <v>1</v>
      </c>
      <c r="H693">
        <v>1</v>
      </c>
      <c r="J693" t="s">
        <v>52</v>
      </c>
      <c r="K693" t="s">
        <v>33</v>
      </c>
      <c r="L693" t="s">
        <v>28</v>
      </c>
    </row>
    <row r="694" spans="2:12">
      <c r="B694" t="s">
        <v>1</v>
      </c>
      <c r="C694" s="4" t="s">
        <v>71</v>
      </c>
      <c r="D694" t="s">
        <v>72</v>
      </c>
      <c r="E694">
        <v>0</v>
      </c>
      <c r="F694">
        <v>1</v>
      </c>
      <c r="G694" s="32">
        <v>1</v>
      </c>
      <c r="H694">
        <v>1</v>
      </c>
      <c r="J694" t="s">
        <v>52</v>
      </c>
      <c r="K694" t="s">
        <v>37</v>
      </c>
      <c r="L694" t="s">
        <v>28</v>
      </c>
    </row>
    <row r="695" spans="2:12">
      <c r="B695" t="s">
        <v>1</v>
      </c>
      <c r="C695" s="4" t="s">
        <v>71</v>
      </c>
      <c r="D695" t="s">
        <v>72</v>
      </c>
      <c r="E695">
        <v>0</v>
      </c>
      <c r="F695">
        <v>2</v>
      </c>
      <c r="G695" s="32">
        <v>2</v>
      </c>
      <c r="H695">
        <v>1</v>
      </c>
      <c r="J695" t="s">
        <v>19</v>
      </c>
      <c r="K695" t="s">
        <v>20</v>
      </c>
      <c r="L695" t="s">
        <v>26</v>
      </c>
    </row>
    <row r="696" spans="2:12">
      <c r="B696" t="s">
        <v>1</v>
      </c>
      <c r="C696" s="4" t="s">
        <v>71</v>
      </c>
      <c r="D696" t="s">
        <v>72</v>
      </c>
      <c r="E696">
        <v>10</v>
      </c>
      <c r="F696">
        <v>1</v>
      </c>
      <c r="G696" s="32">
        <v>1</v>
      </c>
      <c r="H696">
        <v>1</v>
      </c>
      <c r="J696" t="s">
        <v>19</v>
      </c>
      <c r="K696" t="s">
        <v>20</v>
      </c>
      <c r="L696" t="s">
        <v>26</v>
      </c>
    </row>
    <row r="697" spans="2:12">
      <c r="B697" t="s">
        <v>1</v>
      </c>
      <c r="C697" s="4" t="s">
        <v>71</v>
      </c>
      <c r="D697" t="s">
        <v>72</v>
      </c>
      <c r="E697">
        <v>10</v>
      </c>
      <c r="F697">
        <v>2</v>
      </c>
      <c r="G697" s="32">
        <v>0</v>
      </c>
      <c r="H697">
        <v>0</v>
      </c>
      <c r="J697" t="s">
        <v>52</v>
      </c>
      <c r="L697" t="s">
        <v>28</v>
      </c>
    </row>
    <row r="698" spans="2:12">
      <c r="B698" t="s">
        <v>1</v>
      </c>
      <c r="C698" s="4" t="s">
        <v>71</v>
      </c>
      <c r="D698" t="s">
        <v>72</v>
      </c>
      <c r="E698">
        <v>20</v>
      </c>
      <c r="F698">
        <v>1</v>
      </c>
      <c r="G698" s="32">
        <v>1</v>
      </c>
      <c r="H698">
        <v>1</v>
      </c>
      <c r="J698" t="s">
        <v>19</v>
      </c>
      <c r="K698" t="s">
        <v>20</v>
      </c>
      <c r="L698" t="s">
        <v>26</v>
      </c>
    </row>
    <row r="699" spans="2:12">
      <c r="B699" t="s">
        <v>1</v>
      </c>
      <c r="C699" s="4" t="s">
        <v>71</v>
      </c>
      <c r="D699" t="s">
        <v>72</v>
      </c>
      <c r="E699">
        <v>20</v>
      </c>
      <c r="F699">
        <v>2</v>
      </c>
      <c r="G699" s="32">
        <v>1</v>
      </c>
      <c r="H699">
        <v>1</v>
      </c>
      <c r="J699" t="s">
        <v>52</v>
      </c>
      <c r="K699" t="s">
        <v>37</v>
      </c>
      <c r="L699" t="s">
        <v>28</v>
      </c>
    </row>
    <row r="700" spans="2:12">
      <c r="B700" t="s">
        <v>1</v>
      </c>
      <c r="C700" s="4" t="s">
        <v>71</v>
      </c>
      <c r="D700" t="s">
        <v>72</v>
      </c>
      <c r="E700">
        <v>30</v>
      </c>
      <c r="F700">
        <v>1</v>
      </c>
      <c r="G700" s="32">
        <v>1</v>
      </c>
      <c r="H700">
        <v>1</v>
      </c>
      <c r="J700" t="s">
        <v>52</v>
      </c>
      <c r="K700" t="s">
        <v>33</v>
      </c>
      <c r="L700" t="s">
        <v>28</v>
      </c>
    </row>
    <row r="701" spans="2:12">
      <c r="B701" t="s">
        <v>1</v>
      </c>
      <c r="C701" s="4" t="s">
        <v>71</v>
      </c>
      <c r="D701" t="s">
        <v>72</v>
      </c>
      <c r="E701">
        <v>30</v>
      </c>
      <c r="F701">
        <v>2</v>
      </c>
      <c r="G701" s="32">
        <v>2</v>
      </c>
      <c r="H701">
        <v>1</v>
      </c>
      <c r="J701" t="s">
        <v>19</v>
      </c>
      <c r="K701" t="s">
        <v>20</v>
      </c>
      <c r="L701" t="s">
        <v>26</v>
      </c>
    </row>
    <row r="702" spans="2:12">
      <c r="B702" t="s">
        <v>1</v>
      </c>
      <c r="C702" s="4" t="s">
        <v>71</v>
      </c>
      <c r="D702" t="s">
        <v>72</v>
      </c>
      <c r="E702">
        <v>40</v>
      </c>
      <c r="F702">
        <v>1</v>
      </c>
      <c r="G702" s="32">
        <v>1</v>
      </c>
      <c r="H702">
        <v>1</v>
      </c>
      <c r="J702" t="s">
        <v>52</v>
      </c>
      <c r="K702" t="s">
        <v>37</v>
      </c>
      <c r="L702" t="s">
        <v>28</v>
      </c>
    </row>
    <row r="703" spans="2:12">
      <c r="B703" t="s">
        <v>1</v>
      </c>
      <c r="C703" s="4" t="s">
        <v>71</v>
      </c>
      <c r="D703" t="s">
        <v>72</v>
      </c>
      <c r="E703">
        <v>40</v>
      </c>
      <c r="F703">
        <v>2</v>
      </c>
      <c r="G703" s="32">
        <v>2</v>
      </c>
      <c r="H703">
        <v>1</v>
      </c>
      <c r="J703" t="s">
        <v>19</v>
      </c>
      <c r="K703" t="s">
        <v>20</v>
      </c>
      <c r="L703" t="s">
        <v>26</v>
      </c>
    </row>
    <row r="704" spans="2:12">
      <c r="B704" t="s">
        <v>1</v>
      </c>
      <c r="C704" s="4" t="s">
        <v>71</v>
      </c>
      <c r="D704" t="s">
        <v>72</v>
      </c>
      <c r="E704">
        <v>50</v>
      </c>
      <c r="F704">
        <v>1</v>
      </c>
      <c r="G704" s="32">
        <v>1</v>
      </c>
      <c r="H704">
        <v>1</v>
      </c>
      <c r="J704" t="s">
        <v>52</v>
      </c>
      <c r="K704" t="s">
        <v>37</v>
      </c>
      <c r="L704" t="s">
        <v>28</v>
      </c>
    </row>
    <row r="705" spans="2:12">
      <c r="B705" t="s">
        <v>1</v>
      </c>
      <c r="C705" s="4" t="s">
        <v>71</v>
      </c>
      <c r="D705" t="s">
        <v>72</v>
      </c>
      <c r="E705">
        <v>50</v>
      </c>
      <c r="F705">
        <v>2</v>
      </c>
      <c r="G705" s="32">
        <v>2</v>
      </c>
      <c r="H705">
        <v>1</v>
      </c>
      <c r="J705" t="s">
        <v>19</v>
      </c>
      <c r="K705" t="s">
        <v>20</v>
      </c>
      <c r="L705" t="s">
        <v>26</v>
      </c>
    </row>
    <row r="706" spans="2:12">
      <c r="B706" t="s">
        <v>1</v>
      </c>
      <c r="C706" s="4" t="s">
        <v>71</v>
      </c>
      <c r="D706" t="s">
        <v>72</v>
      </c>
      <c r="E706">
        <v>60</v>
      </c>
      <c r="F706">
        <v>1</v>
      </c>
      <c r="G706" s="32">
        <v>1</v>
      </c>
      <c r="H706">
        <v>1</v>
      </c>
      <c r="J706" t="s">
        <v>19</v>
      </c>
      <c r="K706" t="s">
        <v>20</v>
      </c>
      <c r="L706" t="s">
        <v>26</v>
      </c>
    </row>
    <row r="707" spans="2:12">
      <c r="B707" t="s">
        <v>1</v>
      </c>
      <c r="C707" s="4" t="s">
        <v>71</v>
      </c>
      <c r="D707" t="s">
        <v>72</v>
      </c>
      <c r="E707">
        <v>60</v>
      </c>
      <c r="F707">
        <v>2</v>
      </c>
      <c r="G707" s="32">
        <v>1</v>
      </c>
      <c r="H707">
        <v>1</v>
      </c>
      <c r="J707" t="s">
        <v>52</v>
      </c>
      <c r="K707" t="s">
        <v>37</v>
      </c>
      <c r="L707" t="s">
        <v>28</v>
      </c>
    </row>
    <row r="708" spans="2:12">
      <c r="B708" t="s">
        <v>1</v>
      </c>
      <c r="C708" s="4" t="s">
        <v>71</v>
      </c>
      <c r="D708" t="s">
        <v>72</v>
      </c>
      <c r="E708">
        <v>70</v>
      </c>
      <c r="F708">
        <v>1</v>
      </c>
      <c r="G708" s="32">
        <v>1</v>
      </c>
      <c r="H708">
        <v>1</v>
      </c>
      <c r="J708" t="s">
        <v>19</v>
      </c>
      <c r="K708" t="s">
        <v>20</v>
      </c>
      <c r="L708" t="s">
        <v>26</v>
      </c>
    </row>
    <row r="709" spans="2:12">
      <c r="B709" t="s">
        <v>1</v>
      </c>
      <c r="C709" s="4" t="s">
        <v>71</v>
      </c>
      <c r="D709" t="s">
        <v>72</v>
      </c>
      <c r="E709">
        <v>70</v>
      </c>
      <c r="F709">
        <v>2</v>
      </c>
      <c r="G709" s="32">
        <v>2</v>
      </c>
      <c r="H709">
        <v>1</v>
      </c>
      <c r="J709" t="s">
        <v>52</v>
      </c>
      <c r="K709" t="s">
        <v>37</v>
      </c>
      <c r="L709" t="s">
        <v>28</v>
      </c>
    </row>
    <row r="710" spans="2:12">
      <c r="D710" t="s">
        <v>72</v>
      </c>
      <c r="E710">
        <v>80</v>
      </c>
      <c r="F710">
        <v>1</v>
      </c>
      <c r="I710" t="s">
        <v>73</v>
      </c>
      <c r="J710" t="s">
        <v>53</v>
      </c>
      <c r="K710" t="s">
        <v>34</v>
      </c>
      <c r="L710" t="s">
        <v>28</v>
      </c>
    </row>
    <row r="711" spans="2:12">
      <c r="D711" t="s">
        <v>72</v>
      </c>
      <c r="E711">
        <v>90</v>
      </c>
      <c r="F711">
        <v>1</v>
      </c>
      <c r="H711">
        <v>1</v>
      </c>
      <c r="I711" t="s">
        <v>74</v>
      </c>
      <c r="J711" t="s">
        <v>19</v>
      </c>
      <c r="K711" t="s">
        <v>20</v>
      </c>
      <c r="L711" t="s">
        <v>26</v>
      </c>
    </row>
    <row r="712" spans="2:12">
      <c r="D712" t="s">
        <v>72</v>
      </c>
      <c r="E712">
        <v>90</v>
      </c>
      <c r="F712">
        <v>2</v>
      </c>
      <c r="H712">
        <v>1</v>
      </c>
      <c r="I712" t="s">
        <v>74</v>
      </c>
      <c r="J712" t="s">
        <v>53</v>
      </c>
      <c r="K712" t="s">
        <v>31</v>
      </c>
      <c r="L712" t="s">
        <v>28</v>
      </c>
    </row>
    <row r="713" spans="2:12">
      <c r="B713" t="s">
        <v>1</v>
      </c>
      <c r="C713" s="4" t="s">
        <v>71</v>
      </c>
      <c r="D713" t="s">
        <v>72</v>
      </c>
      <c r="E713">
        <v>100</v>
      </c>
      <c r="F713">
        <v>1</v>
      </c>
      <c r="G713" s="32">
        <v>1</v>
      </c>
      <c r="H713">
        <v>1</v>
      </c>
      <c r="J713" t="s">
        <v>19</v>
      </c>
      <c r="K713" t="s">
        <v>20</v>
      </c>
      <c r="L713" t="s">
        <v>26</v>
      </c>
    </row>
    <row r="714" spans="2:12">
      <c r="B714" t="s">
        <v>1</v>
      </c>
      <c r="C714" s="4" t="s">
        <v>71</v>
      </c>
      <c r="D714" t="s">
        <v>72</v>
      </c>
      <c r="E714">
        <v>100</v>
      </c>
      <c r="F714">
        <v>2</v>
      </c>
      <c r="G714" s="32">
        <v>1</v>
      </c>
      <c r="H714">
        <v>1</v>
      </c>
      <c r="J714" t="s">
        <v>52</v>
      </c>
      <c r="K714" t="s">
        <v>37</v>
      </c>
      <c r="L714" t="s">
        <v>28</v>
      </c>
    </row>
    <row r="715" spans="2:12">
      <c r="D715" t="s">
        <v>72</v>
      </c>
      <c r="E715">
        <v>110</v>
      </c>
      <c r="F715">
        <v>1</v>
      </c>
      <c r="H715">
        <v>1</v>
      </c>
      <c r="J715" t="s">
        <v>53</v>
      </c>
      <c r="K715" t="s">
        <v>31</v>
      </c>
      <c r="L715" t="s">
        <v>28</v>
      </c>
    </row>
    <row r="716" spans="2:12">
      <c r="B716" t="s">
        <v>1</v>
      </c>
      <c r="C716" s="4" t="s">
        <v>71</v>
      </c>
      <c r="D716" t="s">
        <v>72</v>
      </c>
      <c r="E716">
        <v>120</v>
      </c>
      <c r="F716">
        <v>1</v>
      </c>
      <c r="G716" s="32">
        <v>1</v>
      </c>
      <c r="H716">
        <v>1</v>
      </c>
      <c r="J716" t="s">
        <v>19</v>
      </c>
      <c r="K716" t="s">
        <v>20</v>
      </c>
      <c r="L716" t="s">
        <v>26</v>
      </c>
    </row>
    <row r="717" spans="2:12">
      <c r="B717" t="s">
        <v>1</v>
      </c>
      <c r="C717" s="4" t="s">
        <v>71</v>
      </c>
      <c r="D717" t="s">
        <v>72</v>
      </c>
      <c r="E717">
        <v>120</v>
      </c>
      <c r="F717">
        <v>2</v>
      </c>
      <c r="G717" s="32">
        <v>2</v>
      </c>
      <c r="H717">
        <v>1</v>
      </c>
      <c r="J717" t="s">
        <v>52</v>
      </c>
      <c r="K717" t="s">
        <v>33</v>
      </c>
      <c r="L717" t="s">
        <v>28</v>
      </c>
    </row>
    <row r="718" spans="2:12">
      <c r="B718" t="s">
        <v>1</v>
      </c>
      <c r="C718" s="4" t="s">
        <v>71</v>
      </c>
      <c r="D718" t="s">
        <v>72</v>
      </c>
      <c r="E718">
        <v>130</v>
      </c>
      <c r="F718">
        <v>1</v>
      </c>
      <c r="G718" s="32">
        <v>1</v>
      </c>
      <c r="H718">
        <v>1</v>
      </c>
      <c r="J718" t="s">
        <v>19</v>
      </c>
      <c r="K718" t="s">
        <v>20</v>
      </c>
      <c r="L718" t="s">
        <v>26</v>
      </c>
    </row>
    <row r="719" spans="2:12">
      <c r="B719" t="s">
        <v>1</v>
      </c>
      <c r="C719" s="4" t="s">
        <v>71</v>
      </c>
      <c r="D719" t="s">
        <v>72</v>
      </c>
      <c r="E719">
        <v>130</v>
      </c>
      <c r="F719">
        <v>2</v>
      </c>
      <c r="G719" s="32">
        <v>2</v>
      </c>
      <c r="H719">
        <v>1</v>
      </c>
      <c r="J719" t="s">
        <v>52</v>
      </c>
      <c r="K719" t="s">
        <v>33</v>
      </c>
      <c r="L719" t="s">
        <v>28</v>
      </c>
    </row>
    <row r="720" spans="2:12">
      <c r="B720" t="s">
        <v>1</v>
      </c>
      <c r="C720" s="4" t="s">
        <v>71</v>
      </c>
      <c r="D720" t="s">
        <v>72</v>
      </c>
      <c r="E720">
        <v>140</v>
      </c>
      <c r="F720">
        <v>1</v>
      </c>
      <c r="G720" s="32">
        <v>1</v>
      </c>
      <c r="H720">
        <v>1</v>
      </c>
      <c r="J720" t="s">
        <v>19</v>
      </c>
      <c r="K720" t="s">
        <v>20</v>
      </c>
      <c r="L720" t="s">
        <v>26</v>
      </c>
    </row>
    <row r="721" spans="2:12">
      <c r="B721" t="s">
        <v>1</v>
      </c>
      <c r="C721" s="4" t="s">
        <v>71</v>
      </c>
      <c r="D721" t="s">
        <v>72</v>
      </c>
      <c r="E721">
        <v>140</v>
      </c>
      <c r="F721">
        <v>2</v>
      </c>
      <c r="G721" s="32">
        <v>2</v>
      </c>
      <c r="H721">
        <v>1</v>
      </c>
      <c r="J721" t="s">
        <v>52</v>
      </c>
      <c r="K721" t="s">
        <v>33</v>
      </c>
      <c r="L721" t="s">
        <v>28</v>
      </c>
    </row>
    <row r="722" spans="2:12">
      <c r="B722" t="s">
        <v>1</v>
      </c>
      <c r="C722" s="4" t="s">
        <v>71</v>
      </c>
      <c r="D722" t="s">
        <v>72</v>
      </c>
      <c r="E722">
        <v>150</v>
      </c>
      <c r="F722">
        <v>1</v>
      </c>
      <c r="G722" s="32">
        <v>1</v>
      </c>
      <c r="H722">
        <v>1</v>
      </c>
      <c r="J722" t="s">
        <v>19</v>
      </c>
      <c r="K722" t="s">
        <v>20</v>
      </c>
      <c r="L722" t="s">
        <v>26</v>
      </c>
    </row>
    <row r="723" spans="2:12">
      <c r="B723" t="s">
        <v>1</v>
      </c>
      <c r="C723" s="4" t="s">
        <v>71</v>
      </c>
      <c r="D723" t="s">
        <v>72</v>
      </c>
      <c r="E723">
        <v>160</v>
      </c>
      <c r="F723">
        <v>1</v>
      </c>
      <c r="G723" s="32">
        <v>1</v>
      </c>
      <c r="H723">
        <v>1</v>
      </c>
      <c r="J723" t="s">
        <v>19</v>
      </c>
      <c r="K723" t="s">
        <v>20</v>
      </c>
      <c r="L723" t="s">
        <v>26</v>
      </c>
    </row>
    <row r="724" spans="2:12">
      <c r="B724" t="s">
        <v>1</v>
      </c>
      <c r="C724" s="4" t="s">
        <v>71</v>
      </c>
      <c r="D724" t="s">
        <v>72</v>
      </c>
      <c r="E724">
        <v>160</v>
      </c>
      <c r="F724">
        <v>2</v>
      </c>
      <c r="G724" s="32">
        <v>1</v>
      </c>
      <c r="H724">
        <v>1</v>
      </c>
      <c r="J724" t="s">
        <v>52</v>
      </c>
      <c r="K724" t="s">
        <v>33</v>
      </c>
      <c r="L724" t="s">
        <v>28</v>
      </c>
    </row>
    <row r="725" spans="2:12">
      <c r="D725" t="s">
        <v>72</v>
      </c>
      <c r="E725">
        <v>170</v>
      </c>
      <c r="F725">
        <v>1</v>
      </c>
      <c r="H725">
        <v>1</v>
      </c>
      <c r="J725" t="s">
        <v>53</v>
      </c>
      <c r="K725" t="s">
        <v>31</v>
      </c>
      <c r="L725" t="s">
        <v>28</v>
      </c>
    </row>
    <row r="726" spans="2:12">
      <c r="B726" t="s">
        <v>1</v>
      </c>
      <c r="C726" s="4" t="s">
        <v>71</v>
      </c>
      <c r="D726" t="s">
        <v>72</v>
      </c>
      <c r="E726">
        <v>180</v>
      </c>
      <c r="F726">
        <v>1</v>
      </c>
      <c r="G726" s="32" t="s">
        <v>50</v>
      </c>
      <c r="I726" t="s">
        <v>56</v>
      </c>
    </row>
    <row r="727" spans="2:12">
      <c r="D727" t="s">
        <v>72</v>
      </c>
      <c r="E727">
        <v>190</v>
      </c>
      <c r="I727" t="s">
        <v>56</v>
      </c>
    </row>
    <row r="728" spans="2:12">
      <c r="B728" t="s">
        <v>1</v>
      </c>
      <c r="C728" s="4" t="s">
        <v>71</v>
      </c>
      <c r="D728" t="s">
        <v>72</v>
      </c>
      <c r="E728">
        <v>200</v>
      </c>
      <c r="F728">
        <v>1</v>
      </c>
      <c r="G728" s="32" t="s">
        <v>50</v>
      </c>
      <c r="I728" t="s">
        <v>56</v>
      </c>
    </row>
    <row r="729" spans="2:12">
      <c r="B729" t="s">
        <v>1</v>
      </c>
      <c r="C729" s="4" t="s">
        <v>71</v>
      </c>
      <c r="D729" t="s">
        <v>72</v>
      </c>
      <c r="E729">
        <v>210</v>
      </c>
      <c r="F729">
        <v>1</v>
      </c>
      <c r="G729" s="32">
        <v>1</v>
      </c>
      <c r="H729">
        <v>1</v>
      </c>
      <c r="J729" t="s">
        <v>19</v>
      </c>
      <c r="K729" t="s">
        <v>20</v>
      </c>
      <c r="L729" t="s">
        <v>26</v>
      </c>
    </row>
    <row r="730" spans="2:12">
      <c r="D730" t="s">
        <v>72</v>
      </c>
      <c r="E730">
        <v>220</v>
      </c>
      <c r="F730">
        <v>1</v>
      </c>
      <c r="H730">
        <v>1</v>
      </c>
      <c r="J730" t="s">
        <v>19</v>
      </c>
      <c r="K730" t="s">
        <v>20</v>
      </c>
      <c r="L730" t="s">
        <v>26</v>
      </c>
    </row>
    <row r="731" spans="2:12">
      <c r="D731" t="s">
        <v>72</v>
      </c>
      <c r="E731">
        <v>220</v>
      </c>
      <c r="F731">
        <v>2</v>
      </c>
      <c r="H731">
        <v>1</v>
      </c>
      <c r="J731" t="s">
        <v>38</v>
      </c>
      <c r="K731" t="s">
        <v>34</v>
      </c>
      <c r="L731" t="s">
        <v>28</v>
      </c>
    </row>
    <row r="732" spans="2:12">
      <c r="B732" t="s">
        <v>1</v>
      </c>
      <c r="C732" s="4" t="s">
        <v>71</v>
      </c>
      <c r="D732" t="s">
        <v>72</v>
      </c>
      <c r="E732">
        <v>230</v>
      </c>
      <c r="F732">
        <v>1</v>
      </c>
      <c r="G732" s="32">
        <v>1</v>
      </c>
      <c r="H732">
        <v>1</v>
      </c>
      <c r="J732" t="s">
        <v>19</v>
      </c>
      <c r="K732" t="s">
        <v>20</v>
      </c>
      <c r="L732" t="s">
        <v>26</v>
      </c>
    </row>
    <row r="733" spans="2:12">
      <c r="B733" t="s">
        <v>1</v>
      </c>
      <c r="C733" s="4" t="s">
        <v>71</v>
      </c>
      <c r="D733" t="s">
        <v>72</v>
      </c>
      <c r="E733">
        <v>230</v>
      </c>
      <c r="F733">
        <v>2</v>
      </c>
      <c r="G733" s="32">
        <v>2</v>
      </c>
      <c r="H733">
        <v>1</v>
      </c>
      <c r="J733" t="s">
        <v>35</v>
      </c>
      <c r="K733" t="s">
        <v>36</v>
      </c>
      <c r="L733" t="s">
        <v>28</v>
      </c>
    </row>
    <row r="734" spans="2:12">
      <c r="B734" t="s">
        <v>1</v>
      </c>
      <c r="C734" s="4" t="s">
        <v>71</v>
      </c>
      <c r="D734" t="s">
        <v>72</v>
      </c>
      <c r="E734">
        <v>240</v>
      </c>
      <c r="F734">
        <v>1</v>
      </c>
      <c r="G734" s="32">
        <v>1</v>
      </c>
      <c r="H734">
        <v>1</v>
      </c>
      <c r="J734" t="s">
        <v>19</v>
      </c>
      <c r="K734" t="s">
        <v>20</v>
      </c>
      <c r="L734" t="s">
        <v>26</v>
      </c>
    </row>
    <row r="735" spans="2:12">
      <c r="B735" t="s">
        <v>1</v>
      </c>
      <c r="C735" s="4" t="s">
        <v>71</v>
      </c>
      <c r="D735" t="s">
        <v>72</v>
      </c>
      <c r="E735">
        <v>240</v>
      </c>
      <c r="F735">
        <v>2</v>
      </c>
      <c r="G735" s="32">
        <v>3</v>
      </c>
      <c r="H735">
        <v>0</v>
      </c>
      <c r="J735" s="12" t="s">
        <v>46</v>
      </c>
    </row>
    <row r="736" spans="2:12">
      <c r="B736" t="s">
        <v>1</v>
      </c>
      <c r="C736" s="4" t="s">
        <v>71</v>
      </c>
      <c r="D736" t="s">
        <v>72</v>
      </c>
      <c r="E736">
        <v>240</v>
      </c>
      <c r="F736">
        <v>3</v>
      </c>
      <c r="G736" s="32">
        <v>2</v>
      </c>
      <c r="H736">
        <v>1</v>
      </c>
      <c r="J736" s="15" t="s">
        <v>35</v>
      </c>
      <c r="K736" t="s">
        <v>33</v>
      </c>
      <c r="L736" t="s">
        <v>28</v>
      </c>
    </row>
    <row r="737" spans="2:12">
      <c r="B737" t="s">
        <v>1</v>
      </c>
      <c r="C737" s="4" t="s">
        <v>71</v>
      </c>
      <c r="D737" t="s">
        <v>72</v>
      </c>
      <c r="E737">
        <v>250</v>
      </c>
      <c r="F737">
        <v>1</v>
      </c>
      <c r="G737" s="32">
        <v>1</v>
      </c>
      <c r="H737">
        <v>1</v>
      </c>
      <c r="J737" t="s">
        <v>19</v>
      </c>
      <c r="K737" t="s">
        <v>20</v>
      </c>
      <c r="L737" t="s">
        <v>26</v>
      </c>
    </row>
    <row r="738" spans="2:12">
      <c r="B738" t="s">
        <v>1</v>
      </c>
      <c r="C738" s="4" t="s">
        <v>71</v>
      </c>
      <c r="D738" t="s">
        <v>72</v>
      </c>
      <c r="E738">
        <v>250</v>
      </c>
      <c r="F738">
        <v>2</v>
      </c>
      <c r="G738" s="32">
        <v>2</v>
      </c>
      <c r="H738">
        <v>1</v>
      </c>
      <c r="J738" t="s">
        <v>35</v>
      </c>
      <c r="K738" t="s">
        <v>36</v>
      </c>
      <c r="L738" t="s">
        <v>28</v>
      </c>
    </row>
    <row r="739" spans="2:12">
      <c r="B739" t="s">
        <v>1</v>
      </c>
      <c r="C739" s="4" t="s">
        <v>71</v>
      </c>
      <c r="D739" t="s">
        <v>72</v>
      </c>
      <c r="E739">
        <v>260</v>
      </c>
      <c r="F739">
        <v>1</v>
      </c>
      <c r="G739" s="32">
        <v>1</v>
      </c>
      <c r="H739">
        <v>1</v>
      </c>
      <c r="J739" t="s">
        <v>19</v>
      </c>
      <c r="K739" t="s">
        <v>20</v>
      </c>
      <c r="L739" t="s">
        <v>26</v>
      </c>
    </row>
    <row r="740" spans="2:12">
      <c r="B740" t="s">
        <v>1</v>
      </c>
      <c r="C740" s="4" t="s">
        <v>71</v>
      </c>
      <c r="D740" t="s">
        <v>72</v>
      </c>
      <c r="E740">
        <v>260</v>
      </c>
      <c r="F740">
        <v>2</v>
      </c>
      <c r="G740" s="32">
        <v>0</v>
      </c>
      <c r="H740">
        <v>0</v>
      </c>
      <c r="J740" t="s">
        <v>35</v>
      </c>
      <c r="L740" t="s">
        <v>28</v>
      </c>
    </row>
    <row r="741" spans="2:12">
      <c r="D741" t="s">
        <v>72</v>
      </c>
      <c r="E741">
        <v>270</v>
      </c>
      <c r="F741">
        <v>1</v>
      </c>
      <c r="H741">
        <v>1</v>
      </c>
      <c r="I741" t="s">
        <v>75</v>
      </c>
      <c r="J741" t="s">
        <v>38</v>
      </c>
      <c r="K741" t="s">
        <v>34</v>
      </c>
      <c r="L741" t="s">
        <v>28</v>
      </c>
    </row>
    <row r="742" spans="2:12">
      <c r="D742" t="s">
        <v>72</v>
      </c>
      <c r="E742">
        <v>270</v>
      </c>
      <c r="F742">
        <v>2</v>
      </c>
      <c r="H742">
        <v>1</v>
      </c>
      <c r="I742" t="s">
        <v>76</v>
      </c>
      <c r="J742" t="s">
        <v>19</v>
      </c>
      <c r="K742" t="s">
        <v>20</v>
      </c>
      <c r="L742" t="s">
        <v>26</v>
      </c>
    </row>
    <row r="743" spans="2:12">
      <c r="D743" t="s">
        <v>72</v>
      </c>
      <c r="E743">
        <v>280</v>
      </c>
      <c r="F743">
        <v>1</v>
      </c>
      <c r="H743">
        <v>1</v>
      </c>
      <c r="J743" t="s">
        <v>38</v>
      </c>
      <c r="K743" t="s">
        <v>34</v>
      </c>
      <c r="L743" t="s">
        <v>28</v>
      </c>
    </row>
    <row r="744" spans="2:12">
      <c r="D744" t="s">
        <v>72</v>
      </c>
      <c r="E744">
        <v>290</v>
      </c>
      <c r="F744">
        <v>1</v>
      </c>
      <c r="H744">
        <v>1</v>
      </c>
      <c r="J744" t="s">
        <v>38</v>
      </c>
      <c r="K744" t="s">
        <v>34</v>
      </c>
      <c r="L744" t="s">
        <v>28</v>
      </c>
    </row>
    <row r="745" spans="2:12">
      <c r="D745" t="s">
        <v>72</v>
      </c>
      <c r="E745">
        <v>290</v>
      </c>
      <c r="F745">
        <v>2</v>
      </c>
      <c r="H745">
        <v>1</v>
      </c>
      <c r="J745" t="s">
        <v>19</v>
      </c>
      <c r="K745" t="s">
        <v>20</v>
      </c>
      <c r="L745" t="s">
        <v>26</v>
      </c>
    </row>
    <row r="746" spans="2:12">
      <c r="D746" t="s">
        <v>72</v>
      </c>
      <c r="E746">
        <v>300</v>
      </c>
      <c r="F746">
        <v>0</v>
      </c>
    </row>
    <row r="747" spans="2:12">
      <c r="D747" t="s">
        <v>72</v>
      </c>
      <c r="E747">
        <v>310</v>
      </c>
      <c r="F747">
        <v>1</v>
      </c>
      <c r="H747">
        <v>1</v>
      </c>
      <c r="J747" t="s">
        <v>19</v>
      </c>
      <c r="K747" t="s">
        <v>20</v>
      </c>
      <c r="L747" t="s">
        <v>26</v>
      </c>
    </row>
    <row r="748" spans="2:12">
      <c r="D748" t="s">
        <v>72</v>
      </c>
      <c r="E748">
        <v>310</v>
      </c>
      <c r="F748">
        <v>2</v>
      </c>
      <c r="H748">
        <v>1</v>
      </c>
      <c r="J748" t="s">
        <v>38</v>
      </c>
      <c r="K748" t="s">
        <v>27</v>
      </c>
      <c r="L748" t="s">
        <v>28</v>
      </c>
    </row>
    <row r="749" spans="2:12">
      <c r="D749" t="s">
        <v>72</v>
      </c>
      <c r="E749">
        <v>320</v>
      </c>
      <c r="F749">
        <v>1</v>
      </c>
      <c r="H749">
        <v>1</v>
      </c>
      <c r="J749" t="s">
        <v>19</v>
      </c>
      <c r="K749" t="s">
        <v>20</v>
      </c>
      <c r="L749" t="s">
        <v>26</v>
      </c>
    </row>
    <row r="750" spans="2:12">
      <c r="D750" t="s">
        <v>72</v>
      </c>
      <c r="E750">
        <v>320</v>
      </c>
      <c r="F750">
        <v>2</v>
      </c>
      <c r="H750">
        <v>1</v>
      </c>
      <c r="J750" t="s">
        <v>38</v>
      </c>
      <c r="K750" t="s">
        <v>34</v>
      </c>
      <c r="L750" t="s">
        <v>28</v>
      </c>
    </row>
    <row r="751" spans="2:12">
      <c r="D751" t="s">
        <v>72</v>
      </c>
      <c r="E751">
        <v>330</v>
      </c>
      <c r="F751">
        <v>1</v>
      </c>
      <c r="H751">
        <v>1</v>
      </c>
      <c r="J751" t="s">
        <v>19</v>
      </c>
      <c r="K751" t="s">
        <v>27</v>
      </c>
      <c r="L751" t="s">
        <v>26</v>
      </c>
    </row>
    <row r="752" spans="2:12">
      <c r="D752" t="s">
        <v>72</v>
      </c>
      <c r="E752">
        <v>330</v>
      </c>
      <c r="F752">
        <v>2</v>
      </c>
      <c r="H752">
        <v>1</v>
      </c>
      <c r="J752" t="s">
        <v>38</v>
      </c>
      <c r="K752" t="s">
        <v>34</v>
      </c>
      <c r="L752" t="s">
        <v>28</v>
      </c>
    </row>
    <row r="753" spans="2:12">
      <c r="D753" s="34" t="s">
        <v>77</v>
      </c>
      <c r="E753">
        <v>0</v>
      </c>
      <c r="F753">
        <v>1</v>
      </c>
      <c r="H753">
        <v>1</v>
      </c>
      <c r="J753" t="s">
        <v>19</v>
      </c>
      <c r="K753" t="s">
        <v>27</v>
      </c>
      <c r="L753" t="s">
        <v>26</v>
      </c>
    </row>
    <row r="754" spans="2:12">
      <c r="D754" s="34" t="s">
        <v>77</v>
      </c>
      <c r="E754">
        <v>0</v>
      </c>
      <c r="F754">
        <v>2</v>
      </c>
      <c r="H754">
        <v>1</v>
      </c>
      <c r="I754" t="s">
        <v>78</v>
      </c>
      <c r="L754" t="s">
        <v>28</v>
      </c>
    </row>
    <row r="755" spans="2:12">
      <c r="D755" s="34" t="s">
        <v>77</v>
      </c>
      <c r="E755">
        <v>10</v>
      </c>
      <c r="F755">
        <v>1</v>
      </c>
      <c r="H755">
        <v>1</v>
      </c>
      <c r="J755" t="s">
        <v>19</v>
      </c>
      <c r="K755" t="s">
        <v>27</v>
      </c>
      <c r="L755" t="s">
        <v>26</v>
      </c>
    </row>
    <row r="756" spans="2:12">
      <c r="D756" s="34" t="s">
        <v>77</v>
      </c>
      <c r="E756">
        <v>20</v>
      </c>
      <c r="F756">
        <v>1</v>
      </c>
      <c r="H756">
        <v>1</v>
      </c>
      <c r="J756" t="s">
        <v>19</v>
      </c>
      <c r="K756" t="s">
        <v>27</v>
      </c>
      <c r="L756" t="s">
        <v>26</v>
      </c>
    </row>
    <row r="757" spans="2:12">
      <c r="D757" s="34" t="s">
        <v>77</v>
      </c>
      <c r="E757">
        <v>20</v>
      </c>
      <c r="F757">
        <v>2</v>
      </c>
      <c r="H757">
        <v>1</v>
      </c>
      <c r="J757" t="s">
        <v>53</v>
      </c>
      <c r="K757" t="s">
        <v>34</v>
      </c>
      <c r="L757" t="s">
        <v>28</v>
      </c>
    </row>
    <row r="758" spans="2:12">
      <c r="D758" s="34" t="s">
        <v>77</v>
      </c>
      <c r="E758">
        <v>30</v>
      </c>
      <c r="F758">
        <v>1</v>
      </c>
      <c r="H758">
        <v>1</v>
      </c>
      <c r="J758" t="s">
        <v>19</v>
      </c>
      <c r="K758" t="s">
        <v>27</v>
      </c>
      <c r="L758" t="s">
        <v>26</v>
      </c>
    </row>
    <row r="759" spans="2:12">
      <c r="D759" s="34" t="s">
        <v>77</v>
      </c>
      <c r="E759">
        <v>30</v>
      </c>
      <c r="F759">
        <v>2</v>
      </c>
      <c r="H759">
        <v>1</v>
      </c>
      <c r="J759" t="s">
        <v>53</v>
      </c>
      <c r="K759" t="s">
        <v>31</v>
      </c>
      <c r="L759" t="s">
        <v>28</v>
      </c>
    </row>
    <row r="760" spans="2:12">
      <c r="D760" s="34" t="s">
        <v>77</v>
      </c>
      <c r="E760">
        <v>40</v>
      </c>
      <c r="F760">
        <v>1</v>
      </c>
      <c r="H760">
        <v>1</v>
      </c>
      <c r="J760" t="s">
        <v>19</v>
      </c>
      <c r="K760" t="s">
        <v>27</v>
      </c>
      <c r="L760" t="s">
        <v>26</v>
      </c>
    </row>
    <row r="761" spans="2:12">
      <c r="D761" s="34" t="s">
        <v>77</v>
      </c>
      <c r="E761">
        <v>40</v>
      </c>
      <c r="F761">
        <v>2</v>
      </c>
      <c r="H761">
        <v>1</v>
      </c>
      <c r="J761" t="s">
        <v>53</v>
      </c>
      <c r="K761" t="s">
        <v>31</v>
      </c>
      <c r="L761" t="s">
        <v>28</v>
      </c>
    </row>
    <row r="762" spans="2:12">
      <c r="D762" s="34" t="s">
        <v>77</v>
      </c>
      <c r="E762">
        <v>50</v>
      </c>
      <c r="F762">
        <v>1</v>
      </c>
      <c r="H762">
        <v>1</v>
      </c>
      <c r="J762" t="s">
        <v>19</v>
      </c>
      <c r="K762" t="s">
        <v>27</v>
      </c>
      <c r="L762" t="s">
        <v>26</v>
      </c>
    </row>
    <row r="763" spans="2:12">
      <c r="D763" s="34" t="s">
        <v>77</v>
      </c>
      <c r="E763">
        <v>50</v>
      </c>
      <c r="F763">
        <v>2</v>
      </c>
      <c r="H763">
        <v>1</v>
      </c>
      <c r="J763" t="s">
        <v>53</v>
      </c>
      <c r="K763" t="s">
        <v>31</v>
      </c>
      <c r="L763" t="s">
        <v>28</v>
      </c>
    </row>
    <row r="764" spans="2:12">
      <c r="D764" s="34" t="s">
        <v>77</v>
      </c>
      <c r="E764">
        <v>60</v>
      </c>
      <c r="F764">
        <v>1</v>
      </c>
      <c r="H764">
        <v>1</v>
      </c>
      <c r="J764" t="s">
        <v>19</v>
      </c>
      <c r="K764" t="s">
        <v>27</v>
      </c>
      <c r="L764" t="s">
        <v>26</v>
      </c>
    </row>
    <row r="765" spans="2:12">
      <c r="D765" s="34" t="s">
        <v>77</v>
      </c>
      <c r="E765">
        <v>60</v>
      </c>
      <c r="F765">
        <v>2</v>
      </c>
      <c r="H765">
        <v>1</v>
      </c>
      <c r="J765" t="s">
        <v>53</v>
      </c>
      <c r="K765" t="s">
        <v>34</v>
      </c>
      <c r="L765" t="s">
        <v>28</v>
      </c>
    </row>
    <row r="766" spans="2:12">
      <c r="D766" s="34" t="s">
        <v>77</v>
      </c>
      <c r="E766">
        <v>70</v>
      </c>
      <c r="F766">
        <v>1</v>
      </c>
      <c r="H766">
        <v>1</v>
      </c>
      <c r="J766" t="s">
        <v>19</v>
      </c>
      <c r="K766" t="s">
        <v>27</v>
      </c>
      <c r="L766" t="s">
        <v>26</v>
      </c>
    </row>
    <row r="767" spans="2:12">
      <c r="D767" s="34" t="s">
        <v>77</v>
      </c>
      <c r="E767">
        <v>70</v>
      </c>
      <c r="F767">
        <v>2</v>
      </c>
      <c r="H767">
        <v>1</v>
      </c>
      <c r="J767" t="s">
        <v>53</v>
      </c>
      <c r="K767" t="s">
        <v>34</v>
      </c>
      <c r="L767" t="s">
        <v>28</v>
      </c>
    </row>
    <row r="768" spans="2:12">
      <c r="B768" t="s">
        <v>1</v>
      </c>
      <c r="C768" s="5" t="s">
        <v>71</v>
      </c>
      <c r="D768" s="1" t="s">
        <v>77</v>
      </c>
      <c r="E768">
        <v>80</v>
      </c>
      <c r="F768">
        <v>1</v>
      </c>
      <c r="G768" s="32">
        <v>1</v>
      </c>
      <c r="H768">
        <v>1</v>
      </c>
      <c r="J768" t="s">
        <v>35</v>
      </c>
      <c r="K768" t="s">
        <v>36</v>
      </c>
      <c r="L768" t="s">
        <v>26</v>
      </c>
    </row>
    <row r="769" spans="2:12">
      <c r="B769" t="s">
        <v>1</v>
      </c>
      <c r="C769" s="5" t="s">
        <v>71</v>
      </c>
      <c r="D769" s="1" t="s">
        <v>77</v>
      </c>
      <c r="E769">
        <v>80</v>
      </c>
      <c r="F769">
        <v>2</v>
      </c>
      <c r="G769" s="32">
        <v>2</v>
      </c>
      <c r="H769">
        <v>1</v>
      </c>
      <c r="J769" t="s">
        <v>52</v>
      </c>
      <c r="K769" t="s">
        <v>33</v>
      </c>
      <c r="L769" t="s">
        <v>28</v>
      </c>
    </row>
    <row r="770" spans="2:12">
      <c r="B770" t="s">
        <v>1</v>
      </c>
      <c r="C770" s="5" t="s">
        <v>71</v>
      </c>
      <c r="D770" s="1" t="s">
        <v>77</v>
      </c>
      <c r="E770">
        <v>90</v>
      </c>
      <c r="F770">
        <v>1</v>
      </c>
      <c r="G770" s="32">
        <v>1</v>
      </c>
      <c r="H770">
        <v>1</v>
      </c>
      <c r="J770" t="s">
        <v>35</v>
      </c>
      <c r="K770" t="s">
        <v>36</v>
      </c>
      <c r="L770" t="s">
        <v>26</v>
      </c>
    </row>
    <row r="771" spans="2:12">
      <c r="B771" t="s">
        <v>1</v>
      </c>
      <c r="C771" s="5" t="s">
        <v>71</v>
      </c>
      <c r="D771" s="1" t="s">
        <v>77</v>
      </c>
      <c r="E771">
        <v>90</v>
      </c>
      <c r="F771">
        <v>2</v>
      </c>
      <c r="G771" s="32">
        <v>2</v>
      </c>
      <c r="H771">
        <v>1</v>
      </c>
      <c r="J771" t="s">
        <v>52</v>
      </c>
      <c r="K771" t="s">
        <v>33</v>
      </c>
      <c r="L771" t="s">
        <v>28</v>
      </c>
    </row>
    <row r="772" spans="2:12">
      <c r="D772" s="34" t="s">
        <v>77</v>
      </c>
      <c r="E772">
        <v>100</v>
      </c>
      <c r="F772">
        <v>1</v>
      </c>
      <c r="H772">
        <v>1</v>
      </c>
      <c r="J772" t="s">
        <v>19</v>
      </c>
      <c r="K772" t="s">
        <v>20</v>
      </c>
      <c r="L772" t="s">
        <v>26</v>
      </c>
    </row>
    <row r="773" spans="2:12">
      <c r="D773" s="34" t="s">
        <v>77</v>
      </c>
      <c r="E773">
        <v>100</v>
      </c>
      <c r="F773">
        <v>2</v>
      </c>
      <c r="H773">
        <v>1</v>
      </c>
      <c r="J773" t="s">
        <v>53</v>
      </c>
      <c r="K773" t="s">
        <v>31</v>
      </c>
      <c r="L773" t="s">
        <v>28</v>
      </c>
    </row>
    <row r="774" spans="2:12">
      <c r="D774" s="34" t="s">
        <v>77</v>
      </c>
      <c r="E774">
        <v>110</v>
      </c>
      <c r="F774">
        <v>1</v>
      </c>
      <c r="H774">
        <v>1</v>
      </c>
      <c r="J774" t="s">
        <v>19</v>
      </c>
      <c r="K774" t="s">
        <v>20</v>
      </c>
      <c r="L774" t="s">
        <v>26</v>
      </c>
    </row>
    <row r="775" spans="2:12">
      <c r="D775" s="34" t="s">
        <v>77</v>
      </c>
      <c r="E775">
        <v>110</v>
      </c>
      <c r="F775">
        <v>2</v>
      </c>
      <c r="H775">
        <v>0</v>
      </c>
      <c r="J775" t="s">
        <v>53</v>
      </c>
      <c r="L775" t="s">
        <v>28</v>
      </c>
    </row>
    <row r="776" spans="2:12">
      <c r="B776" t="s">
        <v>1</v>
      </c>
      <c r="C776" s="5" t="s">
        <v>71</v>
      </c>
      <c r="D776" s="1" t="s">
        <v>77</v>
      </c>
      <c r="E776">
        <v>120</v>
      </c>
      <c r="F776">
        <v>1</v>
      </c>
      <c r="G776" s="32">
        <v>2</v>
      </c>
      <c r="H776">
        <v>1</v>
      </c>
      <c r="J776" t="s">
        <v>19</v>
      </c>
      <c r="K776" t="s">
        <v>20</v>
      </c>
      <c r="L776" t="s">
        <v>26</v>
      </c>
    </row>
    <row r="777" spans="2:12">
      <c r="B777" t="s">
        <v>1</v>
      </c>
      <c r="C777" s="5" t="s">
        <v>71</v>
      </c>
      <c r="D777" s="1" t="s">
        <v>77</v>
      </c>
      <c r="E777">
        <v>120</v>
      </c>
      <c r="F777">
        <v>2</v>
      </c>
      <c r="G777" s="32">
        <v>3</v>
      </c>
      <c r="H777">
        <v>0</v>
      </c>
      <c r="J777" s="12" t="s">
        <v>46</v>
      </c>
    </row>
    <row r="778" spans="2:12">
      <c r="B778" t="s">
        <v>1</v>
      </c>
      <c r="C778" s="5" t="s">
        <v>71</v>
      </c>
      <c r="D778" s="1" t="s">
        <v>77</v>
      </c>
      <c r="E778">
        <v>120</v>
      </c>
      <c r="F778">
        <v>3</v>
      </c>
      <c r="G778" s="32">
        <v>2</v>
      </c>
      <c r="H778">
        <v>2</v>
      </c>
      <c r="J778" t="s">
        <v>52</v>
      </c>
      <c r="K778" t="s">
        <v>37</v>
      </c>
      <c r="L778" t="s">
        <v>28</v>
      </c>
    </row>
    <row r="779" spans="2:12">
      <c r="D779" s="34" t="s">
        <v>77</v>
      </c>
      <c r="E779">
        <v>130</v>
      </c>
      <c r="F779">
        <v>1</v>
      </c>
      <c r="H779">
        <v>1</v>
      </c>
      <c r="J779" t="s">
        <v>19</v>
      </c>
      <c r="K779" t="s">
        <v>20</v>
      </c>
      <c r="L779" t="s">
        <v>26</v>
      </c>
    </row>
    <row r="780" spans="2:12">
      <c r="D780" s="34" t="s">
        <v>77</v>
      </c>
      <c r="E780">
        <v>130</v>
      </c>
      <c r="F780">
        <v>2</v>
      </c>
      <c r="H780">
        <v>1</v>
      </c>
      <c r="J780" t="s">
        <v>53</v>
      </c>
      <c r="K780" t="s">
        <v>31</v>
      </c>
      <c r="L780" t="s">
        <v>28</v>
      </c>
    </row>
    <row r="781" spans="2:12">
      <c r="D781" s="34" t="s">
        <v>77</v>
      </c>
      <c r="E781">
        <v>140</v>
      </c>
      <c r="F781">
        <v>1</v>
      </c>
      <c r="H781">
        <v>2</v>
      </c>
      <c r="I781" t="s">
        <v>79</v>
      </c>
      <c r="J781" t="s">
        <v>53</v>
      </c>
      <c r="K781" t="s">
        <v>31</v>
      </c>
      <c r="L781" t="s">
        <v>28</v>
      </c>
    </row>
    <row r="782" spans="2:12">
      <c r="D782" s="34" t="s">
        <v>77</v>
      </c>
      <c r="E782">
        <v>150</v>
      </c>
      <c r="F782">
        <v>1</v>
      </c>
      <c r="H782">
        <v>1</v>
      </c>
      <c r="J782" t="s">
        <v>19</v>
      </c>
      <c r="K782" t="s">
        <v>20</v>
      </c>
      <c r="L782" t="s">
        <v>26</v>
      </c>
    </row>
    <row r="783" spans="2:12">
      <c r="D783" s="34" t="s">
        <v>77</v>
      </c>
      <c r="E783">
        <v>150</v>
      </c>
      <c r="F783">
        <v>2</v>
      </c>
      <c r="H783">
        <v>2</v>
      </c>
      <c r="J783" t="s">
        <v>53</v>
      </c>
      <c r="K783" t="s">
        <v>34</v>
      </c>
      <c r="L783" t="s">
        <v>28</v>
      </c>
    </row>
    <row r="784" spans="2:12">
      <c r="D784" s="34" t="s">
        <v>77</v>
      </c>
      <c r="E784">
        <v>160</v>
      </c>
      <c r="F784">
        <v>1</v>
      </c>
      <c r="H784">
        <v>1</v>
      </c>
      <c r="J784" t="s">
        <v>19</v>
      </c>
      <c r="K784" t="s">
        <v>20</v>
      </c>
      <c r="L784" t="s">
        <v>26</v>
      </c>
    </row>
    <row r="785" spans="2:12">
      <c r="D785" s="34" t="s">
        <v>77</v>
      </c>
      <c r="E785">
        <v>160</v>
      </c>
      <c r="F785">
        <v>2</v>
      </c>
      <c r="H785">
        <v>2</v>
      </c>
      <c r="J785" t="s">
        <v>53</v>
      </c>
      <c r="K785" t="s">
        <v>34</v>
      </c>
      <c r="L785" t="s">
        <v>28</v>
      </c>
    </row>
    <row r="786" spans="2:12">
      <c r="D786" s="34" t="s">
        <v>77</v>
      </c>
      <c r="E786">
        <v>170</v>
      </c>
      <c r="F786">
        <v>1</v>
      </c>
      <c r="H786">
        <v>0</v>
      </c>
      <c r="J786" t="s">
        <v>53</v>
      </c>
      <c r="L786" t="s">
        <v>28</v>
      </c>
    </row>
    <row r="787" spans="2:12">
      <c r="D787" s="34" t="s">
        <v>77</v>
      </c>
      <c r="E787">
        <v>180</v>
      </c>
      <c r="F787">
        <v>0</v>
      </c>
    </row>
    <row r="788" spans="2:12">
      <c r="B788" t="s">
        <v>1</v>
      </c>
      <c r="C788" s="5" t="s">
        <v>71</v>
      </c>
      <c r="D788" s="1" t="s">
        <v>77</v>
      </c>
      <c r="E788">
        <v>190</v>
      </c>
      <c r="F788">
        <v>1</v>
      </c>
      <c r="G788" s="32">
        <v>3</v>
      </c>
      <c r="H788">
        <v>0</v>
      </c>
      <c r="J788" t="s">
        <v>52</v>
      </c>
      <c r="L788" t="s">
        <v>28</v>
      </c>
    </row>
    <row r="789" spans="2:12">
      <c r="B789" t="s">
        <v>1</v>
      </c>
      <c r="C789" s="5" t="s">
        <v>71</v>
      </c>
      <c r="D789" s="1" t="s">
        <v>77</v>
      </c>
      <c r="E789">
        <v>190</v>
      </c>
      <c r="F789">
        <v>2</v>
      </c>
      <c r="G789" s="32">
        <v>2</v>
      </c>
      <c r="H789">
        <v>1</v>
      </c>
      <c r="J789" t="s">
        <v>52</v>
      </c>
      <c r="K789" t="s">
        <v>33</v>
      </c>
      <c r="L789" t="s">
        <v>28</v>
      </c>
    </row>
    <row r="790" spans="2:12">
      <c r="B790" t="s">
        <v>1</v>
      </c>
      <c r="C790" s="5" t="s">
        <v>71</v>
      </c>
      <c r="D790" s="1" t="s">
        <v>77</v>
      </c>
      <c r="E790">
        <v>200</v>
      </c>
      <c r="F790">
        <v>1</v>
      </c>
      <c r="G790" s="32">
        <v>1</v>
      </c>
      <c r="H790">
        <v>1</v>
      </c>
      <c r="J790" t="s">
        <v>52</v>
      </c>
      <c r="K790" t="s">
        <v>33</v>
      </c>
      <c r="L790" t="s">
        <v>28</v>
      </c>
    </row>
    <row r="791" spans="2:12">
      <c r="D791" s="34" t="s">
        <v>77</v>
      </c>
      <c r="E791">
        <v>210</v>
      </c>
      <c r="F791">
        <v>1</v>
      </c>
      <c r="H791">
        <v>1</v>
      </c>
      <c r="I791" t="s">
        <v>73</v>
      </c>
      <c r="J791" t="s">
        <v>53</v>
      </c>
      <c r="K791" t="s">
        <v>34</v>
      </c>
      <c r="L791" t="s">
        <v>28</v>
      </c>
    </row>
    <row r="792" spans="2:12">
      <c r="D792" s="34" t="s">
        <v>77</v>
      </c>
      <c r="E792">
        <v>220</v>
      </c>
      <c r="F792">
        <v>1</v>
      </c>
      <c r="H792">
        <v>0</v>
      </c>
      <c r="J792" t="s">
        <v>53</v>
      </c>
      <c r="L792" t="s">
        <v>28</v>
      </c>
    </row>
    <row r="793" spans="2:12">
      <c r="B793" t="s">
        <v>1</v>
      </c>
      <c r="C793" s="5" t="s">
        <v>71</v>
      </c>
      <c r="D793" s="1" t="s">
        <v>77</v>
      </c>
      <c r="E793">
        <v>230</v>
      </c>
      <c r="F793">
        <v>1</v>
      </c>
      <c r="G793" s="32">
        <v>1</v>
      </c>
      <c r="H793">
        <v>1</v>
      </c>
      <c r="J793" t="s">
        <v>19</v>
      </c>
      <c r="K793" t="s">
        <v>20</v>
      </c>
      <c r="L793" t="s">
        <v>26</v>
      </c>
    </row>
    <row r="794" spans="2:12">
      <c r="B794" t="s">
        <v>1</v>
      </c>
      <c r="C794" s="5" t="s">
        <v>71</v>
      </c>
      <c r="D794" s="1" t="s">
        <v>77</v>
      </c>
      <c r="E794">
        <v>230</v>
      </c>
      <c r="F794">
        <v>2</v>
      </c>
      <c r="G794" s="32">
        <v>3</v>
      </c>
      <c r="H794">
        <v>0</v>
      </c>
      <c r="J794" t="s">
        <v>52</v>
      </c>
      <c r="L794" t="s">
        <v>28</v>
      </c>
    </row>
    <row r="795" spans="2:12">
      <c r="D795" s="34" t="s">
        <v>77</v>
      </c>
      <c r="E795">
        <v>240</v>
      </c>
      <c r="F795">
        <v>1</v>
      </c>
      <c r="H795">
        <v>1</v>
      </c>
      <c r="J795" t="s">
        <v>53</v>
      </c>
      <c r="K795" t="s">
        <v>34</v>
      </c>
      <c r="L795" t="s">
        <v>28</v>
      </c>
    </row>
    <row r="796" spans="2:12">
      <c r="D796" s="34" t="s">
        <v>77</v>
      </c>
      <c r="E796">
        <v>240</v>
      </c>
      <c r="F796">
        <v>2</v>
      </c>
      <c r="H796">
        <v>1</v>
      </c>
      <c r="I796" t="s">
        <v>70</v>
      </c>
      <c r="J796" t="s">
        <v>19</v>
      </c>
      <c r="K796" t="s">
        <v>20</v>
      </c>
      <c r="L796" t="s">
        <v>26</v>
      </c>
    </row>
    <row r="797" spans="2:12">
      <c r="D797" s="34" t="s">
        <v>77</v>
      </c>
      <c r="E797">
        <v>250</v>
      </c>
      <c r="F797">
        <v>1</v>
      </c>
      <c r="H797">
        <v>1</v>
      </c>
      <c r="J797" t="s">
        <v>53</v>
      </c>
      <c r="K797" t="s">
        <v>31</v>
      </c>
      <c r="L797" t="s">
        <v>28</v>
      </c>
    </row>
    <row r="798" spans="2:12">
      <c r="D798" s="34" t="s">
        <v>77</v>
      </c>
      <c r="E798">
        <v>260</v>
      </c>
      <c r="F798">
        <v>1</v>
      </c>
      <c r="H798">
        <v>1</v>
      </c>
      <c r="J798" t="s">
        <v>53</v>
      </c>
      <c r="K798" t="s">
        <v>31</v>
      </c>
      <c r="L798" t="s">
        <v>28</v>
      </c>
    </row>
    <row r="799" spans="2:12">
      <c r="D799" s="34" t="s">
        <v>77</v>
      </c>
      <c r="E799">
        <v>270</v>
      </c>
      <c r="F799">
        <v>1</v>
      </c>
      <c r="H799">
        <v>1</v>
      </c>
      <c r="J799" t="s">
        <v>53</v>
      </c>
      <c r="K799" t="s">
        <v>31</v>
      </c>
      <c r="L799" t="s">
        <v>28</v>
      </c>
    </row>
    <row r="800" spans="2:12">
      <c r="D800" s="34" t="s">
        <v>77</v>
      </c>
      <c r="E800">
        <v>280</v>
      </c>
      <c r="F800">
        <v>1</v>
      </c>
      <c r="H800">
        <v>1</v>
      </c>
      <c r="J800" t="s">
        <v>53</v>
      </c>
      <c r="K800" t="s">
        <v>31</v>
      </c>
      <c r="L800" t="s">
        <v>28</v>
      </c>
    </row>
    <row r="801" spans="2:12">
      <c r="D801" s="34" t="s">
        <v>77</v>
      </c>
      <c r="E801">
        <v>290</v>
      </c>
      <c r="F801">
        <v>1</v>
      </c>
      <c r="H801">
        <v>1</v>
      </c>
      <c r="J801" t="s">
        <v>19</v>
      </c>
      <c r="K801" t="s">
        <v>20</v>
      </c>
      <c r="L801" t="s">
        <v>26</v>
      </c>
    </row>
    <row r="802" spans="2:12">
      <c r="D802" s="34" t="s">
        <v>77</v>
      </c>
      <c r="E802">
        <v>290</v>
      </c>
      <c r="F802">
        <v>2</v>
      </c>
      <c r="H802">
        <v>0</v>
      </c>
      <c r="J802" t="s">
        <v>53</v>
      </c>
      <c r="L802" t="s">
        <v>28</v>
      </c>
    </row>
    <row r="803" spans="2:12">
      <c r="B803" t="s">
        <v>1</v>
      </c>
      <c r="C803" s="5" t="s">
        <v>71</v>
      </c>
      <c r="D803" s="1" t="s">
        <v>77</v>
      </c>
      <c r="E803">
        <v>300</v>
      </c>
      <c r="F803">
        <v>1</v>
      </c>
      <c r="G803" s="32">
        <v>1</v>
      </c>
      <c r="H803">
        <v>1</v>
      </c>
      <c r="J803" t="s">
        <v>19</v>
      </c>
      <c r="K803" t="s">
        <v>20</v>
      </c>
      <c r="L803" t="s">
        <v>26</v>
      </c>
    </row>
    <row r="804" spans="2:12">
      <c r="B804" t="s">
        <v>1</v>
      </c>
      <c r="C804" s="5" t="s">
        <v>71</v>
      </c>
      <c r="D804" s="1" t="s">
        <v>77</v>
      </c>
      <c r="E804">
        <v>300</v>
      </c>
      <c r="F804">
        <v>2</v>
      </c>
      <c r="G804" s="32">
        <v>0</v>
      </c>
      <c r="H804">
        <v>0</v>
      </c>
      <c r="J804" t="s">
        <v>52</v>
      </c>
      <c r="L804" t="s">
        <v>28</v>
      </c>
    </row>
    <row r="805" spans="2:12">
      <c r="D805" s="34" t="s">
        <v>77</v>
      </c>
      <c r="E805">
        <v>310</v>
      </c>
      <c r="F805">
        <v>1</v>
      </c>
      <c r="H805">
        <v>1</v>
      </c>
      <c r="J805" t="s">
        <v>19</v>
      </c>
      <c r="K805" t="s">
        <v>27</v>
      </c>
      <c r="L805" t="s">
        <v>26</v>
      </c>
    </row>
    <row r="806" spans="2:12">
      <c r="D806" s="34" t="s">
        <v>77</v>
      </c>
      <c r="E806">
        <v>310</v>
      </c>
      <c r="F806">
        <v>2</v>
      </c>
      <c r="H806">
        <v>1</v>
      </c>
      <c r="J806" t="s">
        <v>53</v>
      </c>
      <c r="K806" t="s">
        <v>34</v>
      </c>
      <c r="L806" t="s">
        <v>28</v>
      </c>
    </row>
    <row r="807" spans="2:12">
      <c r="D807" s="34" t="s">
        <v>77</v>
      </c>
      <c r="E807">
        <v>320</v>
      </c>
      <c r="F807">
        <v>1</v>
      </c>
      <c r="H807">
        <v>1</v>
      </c>
      <c r="J807" t="s">
        <v>19</v>
      </c>
      <c r="K807" t="s">
        <v>27</v>
      </c>
      <c r="L807" t="s">
        <v>26</v>
      </c>
    </row>
    <row r="808" spans="2:12">
      <c r="D808" s="34" t="s">
        <v>77</v>
      </c>
      <c r="E808">
        <v>320</v>
      </c>
      <c r="F808">
        <v>2</v>
      </c>
      <c r="H808">
        <v>1</v>
      </c>
      <c r="J808" t="s">
        <v>53</v>
      </c>
      <c r="K808" t="s">
        <v>34</v>
      </c>
      <c r="L808" t="s">
        <v>28</v>
      </c>
    </row>
    <row r="809" spans="2:12">
      <c r="D809" s="34" t="s">
        <v>77</v>
      </c>
      <c r="E809">
        <v>330</v>
      </c>
      <c r="F809">
        <v>1</v>
      </c>
      <c r="H809">
        <v>1</v>
      </c>
      <c r="J809" t="s">
        <v>19</v>
      </c>
      <c r="K809" t="s">
        <v>27</v>
      </c>
      <c r="L809" t="s">
        <v>26</v>
      </c>
    </row>
    <row r="810" spans="2:12">
      <c r="D810" s="34" t="s">
        <v>77</v>
      </c>
      <c r="E810">
        <v>330</v>
      </c>
      <c r="F810">
        <v>2</v>
      </c>
      <c r="H810">
        <v>1</v>
      </c>
      <c r="J810" t="s">
        <v>53</v>
      </c>
      <c r="K810" t="s">
        <v>31</v>
      </c>
      <c r="L810" t="s">
        <v>28</v>
      </c>
    </row>
    <row r="811" spans="2:12">
      <c r="D811" t="s">
        <v>80</v>
      </c>
      <c r="E811">
        <v>0</v>
      </c>
      <c r="I811" t="s">
        <v>56</v>
      </c>
    </row>
    <row r="812" spans="2:12">
      <c r="D812" t="s">
        <v>80</v>
      </c>
      <c r="E812">
        <v>10</v>
      </c>
      <c r="I812" t="s">
        <v>56</v>
      </c>
    </row>
    <row r="813" spans="2:12">
      <c r="D813" t="s">
        <v>80</v>
      </c>
      <c r="E813">
        <v>20</v>
      </c>
      <c r="I813" t="s">
        <v>56</v>
      </c>
    </row>
    <row r="814" spans="2:12">
      <c r="D814" t="s">
        <v>80</v>
      </c>
      <c r="E814">
        <v>30</v>
      </c>
      <c r="I814" t="s">
        <v>56</v>
      </c>
    </row>
    <row r="815" spans="2:12">
      <c r="D815" t="s">
        <v>80</v>
      </c>
      <c r="E815">
        <v>40</v>
      </c>
      <c r="I815" t="s">
        <v>56</v>
      </c>
    </row>
    <row r="816" spans="2:12">
      <c r="D816" t="s">
        <v>80</v>
      </c>
      <c r="E816">
        <v>50</v>
      </c>
      <c r="I816" t="s">
        <v>56</v>
      </c>
    </row>
    <row r="817" spans="2:12">
      <c r="B817" t="s">
        <v>1</v>
      </c>
      <c r="C817" s="4" t="s">
        <v>81</v>
      </c>
      <c r="D817" t="s">
        <v>80</v>
      </c>
      <c r="E817" s="7">
        <v>60</v>
      </c>
      <c r="F817">
        <v>1</v>
      </c>
      <c r="H817" s="7"/>
      <c r="I817" s="7" t="s">
        <v>51</v>
      </c>
    </row>
    <row r="818" spans="2:12">
      <c r="D818" t="s">
        <v>80</v>
      </c>
      <c r="E818">
        <v>70</v>
      </c>
      <c r="I818" t="s">
        <v>56</v>
      </c>
    </row>
    <row r="819" spans="2:12">
      <c r="D819" t="s">
        <v>80</v>
      </c>
      <c r="E819">
        <v>80</v>
      </c>
      <c r="I819" t="s">
        <v>56</v>
      </c>
    </row>
    <row r="820" spans="2:12">
      <c r="B820" t="s">
        <v>1</v>
      </c>
      <c r="C820" s="4" t="s">
        <v>81</v>
      </c>
      <c r="D820" t="s">
        <v>80</v>
      </c>
      <c r="E820" s="7">
        <v>90</v>
      </c>
      <c r="F820">
        <v>1</v>
      </c>
      <c r="G820" s="33">
        <v>1</v>
      </c>
      <c r="H820" s="7">
        <v>1</v>
      </c>
      <c r="I820" s="7"/>
      <c r="J820" t="s">
        <v>19</v>
      </c>
      <c r="K820" t="s">
        <v>20</v>
      </c>
      <c r="L820" t="s">
        <v>26</v>
      </c>
    </row>
    <row r="821" spans="2:12">
      <c r="B821" t="s">
        <v>1</v>
      </c>
      <c r="C821" s="4" t="s">
        <v>81</v>
      </c>
      <c r="D821" t="s">
        <v>80</v>
      </c>
      <c r="E821" s="7">
        <v>90</v>
      </c>
      <c r="F821">
        <v>2</v>
      </c>
      <c r="G821" s="33">
        <v>1</v>
      </c>
      <c r="H821" s="7">
        <v>1</v>
      </c>
      <c r="I821" s="7"/>
      <c r="J821" t="s">
        <v>42</v>
      </c>
      <c r="K821" t="s">
        <v>20</v>
      </c>
      <c r="L821" t="s">
        <v>26</v>
      </c>
    </row>
    <row r="822" spans="2:12">
      <c r="D822" t="s">
        <v>80</v>
      </c>
      <c r="E822">
        <v>100</v>
      </c>
      <c r="F822">
        <v>1</v>
      </c>
      <c r="H822">
        <v>1</v>
      </c>
      <c r="J822" t="s">
        <v>53</v>
      </c>
      <c r="K822" t="s">
        <v>34</v>
      </c>
      <c r="L822" t="s">
        <v>28</v>
      </c>
    </row>
    <row r="823" spans="2:12">
      <c r="D823" t="s">
        <v>80</v>
      </c>
      <c r="E823">
        <v>100</v>
      </c>
      <c r="F823">
        <v>2</v>
      </c>
      <c r="H823">
        <v>1</v>
      </c>
      <c r="J823" t="s">
        <v>57</v>
      </c>
      <c r="K823" t="s">
        <v>34</v>
      </c>
      <c r="L823" t="s">
        <v>26</v>
      </c>
    </row>
    <row r="824" spans="2:12">
      <c r="D824" t="s">
        <v>80</v>
      </c>
      <c r="E824">
        <v>110</v>
      </c>
      <c r="F824">
        <v>1</v>
      </c>
      <c r="H824">
        <v>1</v>
      </c>
      <c r="J824" t="s">
        <v>19</v>
      </c>
      <c r="K824" t="s">
        <v>20</v>
      </c>
      <c r="L824" t="s">
        <v>26</v>
      </c>
    </row>
    <row r="825" spans="2:12">
      <c r="D825" t="s">
        <v>80</v>
      </c>
      <c r="E825">
        <v>110</v>
      </c>
      <c r="F825">
        <v>2</v>
      </c>
      <c r="H825">
        <v>1</v>
      </c>
      <c r="J825" t="s">
        <v>53</v>
      </c>
      <c r="K825" t="s">
        <v>31</v>
      </c>
      <c r="L825" t="s">
        <v>28</v>
      </c>
    </row>
    <row r="826" spans="2:12">
      <c r="B826" t="s">
        <v>1</v>
      </c>
      <c r="C826" s="4" t="s">
        <v>81</v>
      </c>
      <c r="D826" t="s">
        <v>80</v>
      </c>
      <c r="E826" s="7">
        <v>120</v>
      </c>
      <c r="F826">
        <v>1</v>
      </c>
      <c r="G826" s="33">
        <v>1</v>
      </c>
      <c r="H826" s="7">
        <v>1</v>
      </c>
      <c r="I826" s="7"/>
      <c r="J826" t="s">
        <v>52</v>
      </c>
      <c r="K826" t="s">
        <v>37</v>
      </c>
      <c r="L826" t="s">
        <v>28</v>
      </c>
    </row>
    <row r="827" spans="2:12">
      <c r="B827" t="s">
        <v>1</v>
      </c>
      <c r="C827" s="4" t="s">
        <v>81</v>
      </c>
      <c r="D827" t="s">
        <v>80</v>
      </c>
      <c r="E827" s="7">
        <v>120</v>
      </c>
      <c r="F827">
        <v>2</v>
      </c>
      <c r="G827" s="33">
        <v>2</v>
      </c>
      <c r="H827" s="7">
        <v>1</v>
      </c>
      <c r="I827" s="7"/>
      <c r="J827" t="s">
        <v>19</v>
      </c>
      <c r="K827" t="s">
        <v>20</v>
      </c>
      <c r="L827" t="s">
        <v>26</v>
      </c>
    </row>
    <row r="828" spans="2:12">
      <c r="B828" t="s">
        <v>1</v>
      </c>
      <c r="C828" s="4" t="s">
        <v>81</v>
      </c>
      <c r="D828" t="s">
        <v>80</v>
      </c>
      <c r="E828" s="7">
        <v>130</v>
      </c>
      <c r="F828">
        <v>1</v>
      </c>
      <c r="G828" s="33">
        <v>1</v>
      </c>
      <c r="H828" s="7">
        <v>1</v>
      </c>
      <c r="I828" s="7"/>
      <c r="J828" t="s">
        <v>52</v>
      </c>
      <c r="K828" t="s">
        <v>37</v>
      </c>
      <c r="L828" t="s">
        <v>28</v>
      </c>
    </row>
    <row r="829" spans="2:12">
      <c r="B829" t="s">
        <v>1</v>
      </c>
      <c r="C829" s="4" t="s">
        <v>81</v>
      </c>
      <c r="D829" t="s">
        <v>80</v>
      </c>
      <c r="E829" s="7">
        <v>140</v>
      </c>
      <c r="F829">
        <v>1</v>
      </c>
      <c r="G829" s="33">
        <v>1</v>
      </c>
      <c r="H829" s="7">
        <v>1</v>
      </c>
      <c r="I829" s="7"/>
      <c r="J829" t="s">
        <v>52</v>
      </c>
      <c r="K829" t="s">
        <v>33</v>
      </c>
      <c r="L829" t="s">
        <v>28</v>
      </c>
    </row>
    <row r="830" spans="2:12">
      <c r="B830" t="s">
        <v>1</v>
      </c>
      <c r="C830" s="4" t="s">
        <v>81</v>
      </c>
      <c r="D830" t="s">
        <v>80</v>
      </c>
      <c r="E830" s="7">
        <v>150</v>
      </c>
      <c r="F830">
        <v>1</v>
      </c>
      <c r="G830" s="33">
        <v>1</v>
      </c>
      <c r="H830" s="7">
        <v>1</v>
      </c>
      <c r="I830" s="7"/>
      <c r="J830" t="s">
        <v>52</v>
      </c>
      <c r="K830" t="s">
        <v>37</v>
      </c>
      <c r="L830" t="s">
        <v>28</v>
      </c>
    </row>
    <row r="831" spans="2:12">
      <c r="B831" t="s">
        <v>1</v>
      </c>
      <c r="C831" s="4" t="s">
        <v>81</v>
      </c>
      <c r="D831" t="s">
        <v>80</v>
      </c>
      <c r="E831" s="7">
        <v>160</v>
      </c>
      <c r="F831">
        <v>1</v>
      </c>
      <c r="G831" s="33">
        <v>2</v>
      </c>
      <c r="H831" s="7">
        <v>1</v>
      </c>
      <c r="I831" s="7"/>
      <c r="J831" t="s">
        <v>19</v>
      </c>
      <c r="K831" t="s">
        <v>20</v>
      </c>
      <c r="L831" t="s">
        <v>26</v>
      </c>
    </row>
    <row r="832" spans="2:12">
      <c r="B832" t="s">
        <v>1</v>
      </c>
      <c r="C832" s="4" t="s">
        <v>81</v>
      </c>
      <c r="D832" t="s">
        <v>80</v>
      </c>
      <c r="E832" s="7">
        <v>160</v>
      </c>
      <c r="F832">
        <v>2</v>
      </c>
      <c r="G832" s="33">
        <v>1</v>
      </c>
      <c r="H832" s="7">
        <v>1</v>
      </c>
      <c r="I832" s="7"/>
      <c r="J832" t="s">
        <v>52</v>
      </c>
      <c r="K832" t="s">
        <v>37</v>
      </c>
      <c r="L832" t="s">
        <v>28</v>
      </c>
    </row>
    <row r="833" spans="2:12">
      <c r="B833" t="s">
        <v>1</v>
      </c>
      <c r="C833" s="4" t="s">
        <v>81</v>
      </c>
      <c r="D833" t="s">
        <v>80</v>
      </c>
      <c r="E833" s="7">
        <v>170</v>
      </c>
      <c r="F833">
        <v>1</v>
      </c>
      <c r="G833" s="33">
        <v>2</v>
      </c>
      <c r="H833" s="7">
        <v>1</v>
      </c>
      <c r="I833" s="7"/>
      <c r="J833" t="s">
        <v>19</v>
      </c>
      <c r="K833" t="s">
        <v>20</v>
      </c>
      <c r="L833" t="s">
        <v>26</v>
      </c>
    </row>
    <row r="834" spans="2:12">
      <c r="B834" t="s">
        <v>1</v>
      </c>
      <c r="C834" s="4" t="s">
        <v>81</v>
      </c>
      <c r="D834" t="s">
        <v>80</v>
      </c>
      <c r="E834" s="7">
        <v>170</v>
      </c>
      <c r="F834">
        <v>2</v>
      </c>
      <c r="G834" s="33">
        <v>1</v>
      </c>
      <c r="H834" s="7">
        <v>1</v>
      </c>
      <c r="I834" s="7"/>
      <c r="J834" t="s">
        <v>52</v>
      </c>
      <c r="K834" t="s">
        <v>37</v>
      </c>
      <c r="L834" t="s">
        <v>28</v>
      </c>
    </row>
    <row r="835" spans="2:12">
      <c r="B835" t="s">
        <v>1</v>
      </c>
      <c r="C835" s="4" t="s">
        <v>81</v>
      </c>
      <c r="D835" t="s">
        <v>80</v>
      </c>
      <c r="E835" s="7">
        <v>180</v>
      </c>
      <c r="F835">
        <v>1</v>
      </c>
      <c r="G835" s="33">
        <v>1</v>
      </c>
      <c r="H835" s="7">
        <v>1</v>
      </c>
      <c r="I835" s="7"/>
      <c r="J835" t="s">
        <v>19</v>
      </c>
      <c r="K835" t="s">
        <v>20</v>
      </c>
      <c r="L835" t="s">
        <v>26</v>
      </c>
    </row>
    <row r="836" spans="2:12">
      <c r="B836" t="s">
        <v>1</v>
      </c>
      <c r="C836" s="4" t="s">
        <v>81</v>
      </c>
      <c r="D836" t="s">
        <v>80</v>
      </c>
      <c r="E836" s="7">
        <v>180</v>
      </c>
      <c r="F836">
        <v>2</v>
      </c>
      <c r="G836" s="33">
        <v>1</v>
      </c>
      <c r="H836" s="7">
        <v>1</v>
      </c>
      <c r="I836" s="7"/>
      <c r="J836" t="s">
        <v>52</v>
      </c>
      <c r="K836" t="s">
        <v>37</v>
      </c>
      <c r="L836" t="s">
        <v>28</v>
      </c>
    </row>
    <row r="837" spans="2:12">
      <c r="B837" t="s">
        <v>1</v>
      </c>
      <c r="C837" s="4" t="s">
        <v>81</v>
      </c>
      <c r="D837" t="s">
        <v>80</v>
      </c>
      <c r="E837" s="7">
        <v>190</v>
      </c>
      <c r="F837">
        <v>1</v>
      </c>
      <c r="G837" s="33">
        <v>1</v>
      </c>
      <c r="H837" s="7">
        <v>1</v>
      </c>
      <c r="I837" s="7"/>
      <c r="J837" t="s">
        <v>19</v>
      </c>
      <c r="K837" t="s">
        <v>20</v>
      </c>
      <c r="L837" t="s">
        <v>26</v>
      </c>
    </row>
    <row r="838" spans="2:12">
      <c r="B838" t="s">
        <v>1</v>
      </c>
      <c r="C838" s="4" t="s">
        <v>81</v>
      </c>
      <c r="D838" t="s">
        <v>80</v>
      </c>
      <c r="E838" s="7">
        <v>190</v>
      </c>
      <c r="F838">
        <v>2</v>
      </c>
      <c r="G838" s="33">
        <v>1</v>
      </c>
      <c r="H838" s="7">
        <v>1</v>
      </c>
      <c r="I838" s="7"/>
      <c r="J838" t="s">
        <v>52</v>
      </c>
      <c r="K838" t="s">
        <v>37</v>
      </c>
      <c r="L838" t="s">
        <v>28</v>
      </c>
    </row>
    <row r="839" spans="2:12">
      <c r="B839" t="s">
        <v>1</v>
      </c>
      <c r="C839" s="4" t="s">
        <v>81</v>
      </c>
      <c r="D839" t="s">
        <v>80</v>
      </c>
      <c r="E839" s="7">
        <v>200</v>
      </c>
      <c r="F839">
        <v>1</v>
      </c>
      <c r="G839" s="33">
        <v>1</v>
      </c>
      <c r="H839" s="7">
        <v>1</v>
      </c>
      <c r="I839" s="7"/>
      <c r="J839" t="s">
        <v>19</v>
      </c>
      <c r="K839" t="s">
        <v>20</v>
      </c>
      <c r="L839" t="s">
        <v>26</v>
      </c>
    </row>
    <row r="840" spans="2:12">
      <c r="B840" t="s">
        <v>1</v>
      </c>
      <c r="C840" s="4" t="s">
        <v>81</v>
      </c>
      <c r="D840" t="s">
        <v>80</v>
      </c>
      <c r="E840" s="7">
        <v>200</v>
      </c>
      <c r="F840">
        <v>2</v>
      </c>
      <c r="G840" s="33">
        <v>0</v>
      </c>
      <c r="H840" s="7">
        <v>0</v>
      </c>
      <c r="I840" s="7"/>
      <c r="J840" t="s">
        <v>52</v>
      </c>
      <c r="L840" t="s">
        <v>28</v>
      </c>
    </row>
    <row r="841" spans="2:12">
      <c r="D841" t="s">
        <v>80</v>
      </c>
      <c r="E841">
        <v>210</v>
      </c>
      <c r="F841">
        <v>1</v>
      </c>
      <c r="H841">
        <v>1</v>
      </c>
      <c r="J841" t="s">
        <v>19</v>
      </c>
      <c r="K841" t="s">
        <v>20</v>
      </c>
      <c r="L841" t="s">
        <v>26</v>
      </c>
    </row>
    <row r="842" spans="2:12">
      <c r="D842" t="s">
        <v>80</v>
      </c>
      <c r="E842">
        <v>210</v>
      </c>
      <c r="F842">
        <v>2</v>
      </c>
      <c r="H842">
        <v>0</v>
      </c>
      <c r="J842" t="s">
        <v>53</v>
      </c>
      <c r="L842" t="s">
        <v>28</v>
      </c>
    </row>
    <row r="843" spans="2:12">
      <c r="B843" t="s">
        <v>1</v>
      </c>
      <c r="C843" s="4" t="s">
        <v>81</v>
      </c>
      <c r="D843" t="s">
        <v>80</v>
      </c>
      <c r="E843" s="7">
        <v>220</v>
      </c>
      <c r="F843">
        <v>1</v>
      </c>
      <c r="G843" s="33">
        <v>1</v>
      </c>
      <c r="H843" s="7">
        <v>1</v>
      </c>
      <c r="I843" s="7"/>
      <c r="J843" t="s">
        <v>19</v>
      </c>
      <c r="K843" t="s">
        <v>20</v>
      </c>
      <c r="L843" t="s">
        <v>26</v>
      </c>
    </row>
    <row r="844" spans="2:12">
      <c r="B844" t="s">
        <v>1</v>
      </c>
      <c r="C844" s="4" t="s">
        <v>81</v>
      </c>
      <c r="D844" t="s">
        <v>80</v>
      </c>
      <c r="E844" s="7">
        <v>220</v>
      </c>
      <c r="F844">
        <v>2</v>
      </c>
      <c r="G844" s="33">
        <v>1</v>
      </c>
      <c r="H844" s="7">
        <v>1</v>
      </c>
      <c r="I844" s="7"/>
      <c r="J844" t="s">
        <v>52</v>
      </c>
      <c r="K844" t="s">
        <v>37</v>
      </c>
      <c r="L844" t="s">
        <v>28</v>
      </c>
    </row>
    <row r="845" spans="2:12">
      <c r="B845" t="s">
        <v>1</v>
      </c>
      <c r="C845" s="4" t="s">
        <v>81</v>
      </c>
      <c r="D845" t="s">
        <v>80</v>
      </c>
      <c r="E845" s="7">
        <v>230</v>
      </c>
      <c r="F845">
        <v>1</v>
      </c>
      <c r="G845" s="33">
        <v>1</v>
      </c>
      <c r="H845" s="7">
        <v>1</v>
      </c>
      <c r="I845" s="7"/>
      <c r="J845" t="s">
        <v>19</v>
      </c>
      <c r="K845" t="s">
        <v>20</v>
      </c>
      <c r="L845" t="s">
        <v>26</v>
      </c>
    </row>
    <row r="846" spans="2:12">
      <c r="B846" t="s">
        <v>1</v>
      </c>
      <c r="C846" s="4" t="s">
        <v>81</v>
      </c>
      <c r="D846" t="s">
        <v>80</v>
      </c>
      <c r="E846" s="7">
        <v>230</v>
      </c>
      <c r="F846">
        <v>2</v>
      </c>
      <c r="G846" s="33">
        <v>2</v>
      </c>
      <c r="H846" s="7">
        <v>1</v>
      </c>
      <c r="I846" s="7"/>
      <c r="J846" t="s">
        <v>52</v>
      </c>
      <c r="K846" t="s">
        <v>33</v>
      </c>
      <c r="L846" t="s">
        <v>28</v>
      </c>
    </row>
    <row r="847" spans="2:12">
      <c r="B847" t="s">
        <v>1</v>
      </c>
      <c r="C847" s="4" t="s">
        <v>81</v>
      </c>
      <c r="D847" t="s">
        <v>80</v>
      </c>
      <c r="E847" s="7">
        <v>240</v>
      </c>
      <c r="F847">
        <v>1</v>
      </c>
      <c r="G847" s="33">
        <v>1</v>
      </c>
      <c r="H847" s="7">
        <v>1</v>
      </c>
      <c r="I847" s="7"/>
      <c r="J847" t="s">
        <v>19</v>
      </c>
      <c r="K847" t="s">
        <v>20</v>
      </c>
      <c r="L847" t="s">
        <v>26</v>
      </c>
    </row>
    <row r="848" spans="2:12">
      <c r="B848" t="s">
        <v>1</v>
      </c>
      <c r="C848" s="4" t="s">
        <v>81</v>
      </c>
      <c r="D848" t="s">
        <v>80</v>
      </c>
      <c r="E848" s="7">
        <v>240</v>
      </c>
      <c r="F848">
        <v>2</v>
      </c>
      <c r="G848" s="33">
        <v>2</v>
      </c>
      <c r="H848" s="7">
        <v>1</v>
      </c>
      <c r="I848" s="7"/>
      <c r="J848" t="s">
        <v>52</v>
      </c>
      <c r="K848" t="s">
        <v>37</v>
      </c>
      <c r="L848" t="s">
        <v>28</v>
      </c>
    </row>
    <row r="849" spans="2:12">
      <c r="B849" t="s">
        <v>1</v>
      </c>
      <c r="C849" s="4" t="s">
        <v>81</v>
      </c>
      <c r="D849" t="s">
        <v>80</v>
      </c>
      <c r="E849" s="7">
        <v>250</v>
      </c>
      <c r="F849">
        <v>1</v>
      </c>
      <c r="G849" s="33">
        <v>1</v>
      </c>
      <c r="H849" s="7">
        <v>1</v>
      </c>
      <c r="I849" s="7"/>
      <c r="J849" t="s">
        <v>19</v>
      </c>
      <c r="K849" t="s">
        <v>20</v>
      </c>
      <c r="L849" t="s">
        <v>26</v>
      </c>
    </row>
    <row r="850" spans="2:12">
      <c r="B850" t="s">
        <v>1</v>
      </c>
      <c r="C850" s="4" t="s">
        <v>81</v>
      </c>
      <c r="D850" t="s">
        <v>80</v>
      </c>
      <c r="E850" s="7">
        <v>250</v>
      </c>
      <c r="F850">
        <v>2</v>
      </c>
      <c r="G850" s="33">
        <v>2</v>
      </c>
      <c r="H850" s="7">
        <v>1</v>
      </c>
      <c r="I850" s="7"/>
      <c r="J850" t="s">
        <v>52</v>
      </c>
      <c r="K850" t="s">
        <v>33</v>
      </c>
      <c r="L850" t="s">
        <v>28</v>
      </c>
    </row>
    <row r="851" spans="2:12">
      <c r="D851" t="s">
        <v>80</v>
      </c>
      <c r="E851">
        <v>260</v>
      </c>
      <c r="F851">
        <v>1</v>
      </c>
      <c r="H851">
        <v>1</v>
      </c>
      <c r="J851" t="s">
        <v>19</v>
      </c>
      <c r="K851" t="s">
        <v>20</v>
      </c>
      <c r="L851" t="s">
        <v>26</v>
      </c>
    </row>
    <row r="852" spans="2:12">
      <c r="D852" t="s">
        <v>80</v>
      </c>
      <c r="E852">
        <v>260</v>
      </c>
      <c r="F852">
        <v>2</v>
      </c>
      <c r="H852">
        <v>1</v>
      </c>
      <c r="J852" t="s">
        <v>53</v>
      </c>
      <c r="K852" t="s">
        <v>31</v>
      </c>
      <c r="L852" t="s">
        <v>28</v>
      </c>
    </row>
    <row r="853" spans="2:12">
      <c r="B853" t="s">
        <v>1</v>
      </c>
      <c r="C853" s="4" t="s">
        <v>81</v>
      </c>
      <c r="D853" t="s">
        <v>80</v>
      </c>
      <c r="E853" s="7">
        <v>270</v>
      </c>
      <c r="F853">
        <v>1</v>
      </c>
      <c r="G853" s="33">
        <v>1</v>
      </c>
      <c r="H853" s="7">
        <v>1</v>
      </c>
      <c r="I853" s="7"/>
      <c r="J853" t="s">
        <v>52</v>
      </c>
      <c r="K853" t="s">
        <v>37</v>
      </c>
      <c r="L853" t="s">
        <v>28</v>
      </c>
    </row>
    <row r="854" spans="2:12">
      <c r="D854" t="s">
        <v>80</v>
      </c>
      <c r="E854">
        <v>280</v>
      </c>
      <c r="I854" t="s">
        <v>56</v>
      </c>
    </row>
    <row r="855" spans="2:12">
      <c r="D855" t="s">
        <v>80</v>
      </c>
      <c r="E855">
        <v>290</v>
      </c>
      <c r="F855">
        <v>1</v>
      </c>
      <c r="H855">
        <v>1</v>
      </c>
      <c r="J855" t="s">
        <v>19</v>
      </c>
      <c r="K855" t="s">
        <v>20</v>
      </c>
      <c r="L855" t="s">
        <v>26</v>
      </c>
    </row>
    <row r="856" spans="2:12">
      <c r="D856" t="s">
        <v>80</v>
      </c>
      <c r="E856">
        <v>290</v>
      </c>
      <c r="F856">
        <v>2</v>
      </c>
      <c r="H856">
        <v>1</v>
      </c>
      <c r="J856" t="s">
        <v>53</v>
      </c>
      <c r="K856" t="s">
        <v>34</v>
      </c>
      <c r="L856" t="s">
        <v>28</v>
      </c>
    </row>
    <row r="857" spans="2:12">
      <c r="B857" t="s">
        <v>1</v>
      </c>
      <c r="C857" s="4" t="s">
        <v>81</v>
      </c>
      <c r="D857" t="s">
        <v>80</v>
      </c>
      <c r="E857" s="7">
        <v>300</v>
      </c>
      <c r="F857">
        <v>1</v>
      </c>
      <c r="G857" s="33">
        <v>1</v>
      </c>
      <c r="H857" s="7">
        <v>1</v>
      </c>
      <c r="I857" s="7"/>
      <c r="J857" t="s">
        <v>19</v>
      </c>
      <c r="K857" t="s">
        <v>20</v>
      </c>
      <c r="L857" t="s">
        <v>26</v>
      </c>
    </row>
    <row r="858" spans="2:12">
      <c r="B858" t="s">
        <v>1</v>
      </c>
      <c r="C858" s="4" t="s">
        <v>81</v>
      </c>
      <c r="D858" t="s">
        <v>80</v>
      </c>
      <c r="E858" s="7">
        <v>300</v>
      </c>
      <c r="F858">
        <v>2</v>
      </c>
      <c r="G858" s="33">
        <v>0</v>
      </c>
      <c r="H858" s="7">
        <v>0</v>
      </c>
      <c r="I858" s="7"/>
      <c r="J858" t="s">
        <v>52</v>
      </c>
      <c r="L858" t="s">
        <v>28</v>
      </c>
    </row>
    <row r="859" spans="2:12">
      <c r="B859" t="s">
        <v>1</v>
      </c>
      <c r="C859" s="4" t="s">
        <v>81</v>
      </c>
      <c r="D859" t="s">
        <v>80</v>
      </c>
      <c r="E859" s="7">
        <v>310</v>
      </c>
      <c r="F859">
        <v>1</v>
      </c>
      <c r="G859" s="33">
        <v>1</v>
      </c>
      <c r="H859" s="7">
        <v>1</v>
      </c>
      <c r="I859" s="7"/>
      <c r="J859" t="s">
        <v>19</v>
      </c>
      <c r="K859" t="s">
        <v>20</v>
      </c>
      <c r="L859" t="s">
        <v>26</v>
      </c>
    </row>
    <row r="860" spans="2:12">
      <c r="B860" t="s">
        <v>1</v>
      </c>
      <c r="C860" s="4" t="s">
        <v>81</v>
      </c>
      <c r="D860" t="s">
        <v>80</v>
      </c>
      <c r="E860" s="7">
        <v>310</v>
      </c>
      <c r="F860">
        <v>2</v>
      </c>
      <c r="G860" s="33">
        <v>0</v>
      </c>
      <c r="H860" s="7">
        <v>0</v>
      </c>
      <c r="I860" s="7"/>
      <c r="J860" t="s">
        <v>52</v>
      </c>
      <c r="L860" t="s">
        <v>28</v>
      </c>
    </row>
    <row r="861" spans="2:12">
      <c r="D861" t="s">
        <v>80</v>
      </c>
      <c r="E861">
        <v>320</v>
      </c>
      <c r="F861">
        <v>1</v>
      </c>
      <c r="H861">
        <v>0</v>
      </c>
      <c r="J861" t="s">
        <v>19</v>
      </c>
      <c r="L861" t="s">
        <v>26</v>
      </c>
    </row>
    <row r="862" spans="2:12">
      <c r="D862" t="s">
        <v>80</v>
      </c>
      <c r="E862">
        <v>320</v>
      </c>
      <c r="F862">
        <v>2</v>
      </c>
      <c r="H862">
        <v>1</v>
      </c>
      <c r="J862" t="s">
        <v>53</v>
      </c>
      <c r="K862" t="s">
        <v>34</v>
      </c>
      <c r="L862" t="s">
        <v>28</v>
      </c>
    </row>
    <row r="863" spans="2:12">
      <c r="D863" t="s">
        <v>80</v>
      </c>
      <c r="E863">
        <v>330</v>
      </c>
      <c r="F863">
        <v>1</v>
      </c>
      <c r="H863">
        <v>1</v>
      </c>
      <c r="J863" t="s">
        <v>19</v>
      </c>
      <c r="K863" t="s">
        <v>20</v>
      </c>
      <c r="L863" t="s">
        <v>26</v>
      </c>
    </row>
    <row r="864" spans="2:12">
      <c r="D864" t="s">
        <v>80</v>
      </c>
      <c r="E864">
        <v>330</v>
      </c>
      <c r="F864">
        <v>2</v>
      </c>
      <c r="H864">
        <v>1</v>
      </c>
      <c r="J864" t="s">
        <v>53</v>
      </c>
      <c r="K864" t="s">
        <v>34</v>
      </c>
      <c r="L864" t="s">
        <v>28</v>
      </c>
    </row>
    <row r="865" spans="2:12">
      <c r="B865" t="s">
        <v>1</v>
      </c>
      <c r="C865" s="5" t="s">
        <v>82</v>
      </c>
      <c r="D865" s="1" t="s">
        <v>83</v>
      </c>
      <c r="E865">
        <v>0</v>
      </c>
      <c r="F865">
        <v>1</v>
      </c>
      <c r="G865" s="33">
        <v>2</v>
      </c>
      <c r="H865">
        <v>1</v>
      </c>
      <c r="J865" t="s">
        <v>19</v>
      </c>
      <c r="K865" t="s">
        <v>20</v>
      </c>
      <c r="L865" t="s">
        <v>26</v>
      </c>
    </row>
    <row r="866" spans="2:12">
      <c r="B866" t="s">
        <v>1</v>
      </c>
      <c r="C866" s="5" t="s">
        <v>82</v>
      </c>
      <c r="D866" s="1" t="s">
        <v>83</v>
      </c>
      <c r="E866">
        <v>0</v>
      </c>
      <c r="F866">
        <v>2</v>
      </c>
      <c r="G866" s="33">
        <v>1</v>
      </c>
      <c r="H866">
        <v>1</v>
      </c>
      <c r="J866" t="s">
        <v>52</v>
      </c>
      <c r="K866" t="s">
        <v>37</v>
      </c>
      <c r="L866" t="s">
        <v>28</v>
      </c>
    </row>
    <row r="867" spans="2:12">
      <c r="B867" t="s">
        <v>1</v>
      </c>
      <c r="C867" s="5" t="s">
        <v>82</v>
      </c>
      <c r="D867" s="1" t="s">
        <v>83</v>
      </c>
      <c r="E867">
        <v>10</v>
      </c>
      <c r="F867">
        <v>1</v>
      </c>
      <c r="G867" s="32">
        <v>1</v>
      </c>
      <c r="H867">
        <v>1</v>
      </c>
      <c r="J867" t="s">
        <v>52</v>
      </c>
      <c r="K867" t="s">
        <v>37</v>
      </c>
      <c r="L867" t="s">
        <v>28</v>
      </c>
    </row>
    <row r="868" spans="2:12">
      <c r="B868" t="s">
        <v>1</v>
      </c>
      <c r="C868" s="5" t="s">
        <v>82</v>
      </c>
      <c r="D868" s="1" t="s">
        <v>83</v>
      </c>
      <c r="E868">
        <v>20</v>
      </c>
      <c r="F868">
        <v>1</v>
      </c>
      <c r="G868" s="32">
        <v>1</v>
      </c>
      <c r="H868">
        <v>1</v>
      </c>
      <c r="J868" t="s">
        <v>52</v>
      </c>
      <c r="K868" t="s">
        <v>37</v>
      </c>
      <c r="L868" t="s">
        <v>28</v>
      </c>
    </row>
    <row r="869" spans="2:12">
      <c r="B869" t="s">
        <v>1</v>
      </c>
      <c r="C869" s="5" t="s">
        <v>82</v>
      </c>
      <c r="D869" s="1" t="s">
        <v>83</v>
      </c>
      <c r="E869">
        <v>30</v>
      </c>
      <c r="F869">
        <v>1</v>
      </c>
      <c r="G869" s="32">
        <v>1</v>
      </c>
      <c r="H869">
        <v>1</v>
      </c>
      <c r="J869" t="s">
        <v>52</v>
      </c>
      <c r="K869" t="s">
        <v>37</v>
      </c>
      <c r="L869" t="s">
        <v>28</v>
      </c>
    </row>
    <row r="870" spans="2:12">
      <c r="B870" t="s">
        <v>1</v>
      </c>
      <c r="C870" s="5" t="s">
        <v>82</v>
      </c>
      <c r="D870" s="1" t="s">
        <v>83</v>
      </c>
      <c r="E870">
        <v>30</v>
      </c>
      <c r="F870">
        <v>2</v>
      </c>
      <c r="G870" s="32">
        <v>2</v>
      </c>
      <c r="H870">
        <v>1</v>
      </c>
      <c r="J870" t="s">
        <v>19</v>
      </c>
      <c r="K870" t="s">
        <v>20</v>
      </c>
      <c r="L870" t="s">
        <v>26</v>
      </c>
    </row>
    <row r="871" spans="2:12">
      <c r="D871" s="34" t="s">
        <v>83</v>
      </c>
      <c r="E871">
        <v>40</v>
      </c>
      <c r="F871">
        <v>1</v>
      </c>
      <c r="H871">
        <v>1</v>
      </c>
      <c r="J871" t="s">
        <v>19</v>
      </c>
      <c r="K871" t="s">
        <v>20</v>
      </c>
      <c r="L871" t="s">
        <v>26</v>
      </c>
    </row>
    <row r="872" spans="2:12">
      <c r="D872" s="34" t="s">
        <v>83</v>
      </c>
      <c r="E872">
        <v>40</v>
      </c>
      <c r="F872">
        <v>2</v>
      </c>
      <c r="H872">
        <v>1</v>
      </c>
      <c r="J872" t="s">
        <v>53</v>
      </c>
      <c r="K872" t="s">
        <v>31</v>
      </c>
      <c r="L872" t="s">
        <v>28</v>
      </c>
    </row>
    <row r="873" spans="2:12">
      <c r="D873" s="34" t="s">
        <v>83</v>
      </c>
      <c r="E873">
        <v>50</v>
      </c>
      <c r="F873">
        <v>1</v>
      </c>
      <c r="H873">
        <v>1</v>
      </c>
      <c r="J873" t="s">
        <v>53</v>
      </c>
      <c r="K873" t="s">
        <v>34</v>
      </c>
      <c r="L873" t="s">
        <v>28</v>
      </c>
    </row>
    <row r="874" spans="2:12">
      <c r="D874" s="34" t="s">
        <v>83</v>
      </c>
      <c r="E874">
        <v>60</v>
      </c>
      <c r="F874">
        <v>1</v>
      </c>
      <c r="H874">
        <v>1</v>
      </c>
      <c r="J874" t="s">
        <v>53</v>
      </c>
      <c r="K874" t="s">
        <v>31</v>
      </c>
      <c r="L874" t="s">
        <v>28</v>
      </c>
    </row>
    <row r="875" spans="2:12">
      <c r="B875" t="s">
        <v>1</v>
      </c>
      <c r="C875" s="5" t="s">
        <v>82</v>
      </c>
      <c r="D875" s="1" t="s">
        <v>83</v>
      </c>
      <c r="E875">
        <v>70</v>
      </c>
      <c r="F875">
        <v>1</v>
      </c>
      <c r="G875" s="32">
        <v>1</v>
      </c>
      <c r="H875">
        <v>1</v>
      </c>
      <c r="J875" t="s">
        <v>19</v>
      </c>
      <c r="K875" t="s">
        <v>20</v>
      </c>
      <c r="L875" t="s">
        <v>26</v>
      </c>
    </row>
    <row r="876" spans="2:12">
      <c r="B876" t="s">
        <v>1</v>
      </c>
      <c r="C876" s="5" t="s">
        <v>82</v>
      </c>
      <c r="D876" s="1" t="s">
        <v>83</v>
      </c>
      <c r="E876">
        <v>80</v>
      </c>
      <c r="F876">
        <v>1</v>
      </c>
      <c r="G876" s="32">
        <v>1</v>
      </c>
      <c r="H876">
        <v>1</v>
      </c>
      <c r="J876" t="s">
        <v>19</v>
      </c>
      <c r="K876" t="s">
        <v>20</v>
      </c>
      <c r="L876" t="s">
        <v>26</v>
      </c>
    </row>
    <row r="877" spans="2:12">
      <c r="B877" t="s">
        <v>1</v>
      </c>
      <c r="C877" s="5" t="s">
        <v>82</v>
      </c>
      <c r="D877" s="1" t="s">
        <v>83</v>
      </c>
      <c r="E877">
        <v>80</v>
      </c>
      <c r="F877">
        <v>2</v>
      </c>
      <c r="G877" s="32">
        <v>2</v>
      </c>
      <c r="H877">
        <v>1</v>
      </c>
      <c r="J877" t="s">
        <v>52</v>
      </c>
      <c r="K877" t="s">
        <v>37</v>
      </c>
      <c r="L877" t="s">
        <v>28</v>
      </c>
    </row>
    <row r="878" spans="2:12">
      <c r="D878" s="34" t="s">
        <v>83</v>
      </c>
      <c r="E878">
        <v>90</v>
      </c>
      <c r="F878">
        <v>1</v>
      </c>
      <c r="H878">
        <v>1</v>
      </c>
      <c r="J878" t="s">
        <v>19</v>
      </c>
      <c r="K878" t="s">
        <v>20</v>
      </c>
      <c r="L878" t="s">
        <v>26</v>
      </c>
    </row>
    <row r="879" spans="2:12">
      <c r="D879" s="34" t="s">
        <v>83</v>
      </c>
      <c r="E879">
        <v>90</v>
      </c>
      <c r="F879">
        <v>2</v>
      </c>
      <c r="H879">
        <v>1</v>
      </c>
      <c r="J879" t="s">
        <v>53</v>
      </c>
      <c r="K879" t="s">
        <v>31</v>
      </c>
      <c r="L879" t="s">
        <v>28</v>
      </c>
    </row>
    <row r="880" spans="2:12">
      <c r="D880" s="34" t="s">
        <v>83</v>
      </c>
      <c r="E880">
        <v>100</v>
      </c>
      <c r="F880">
        <v>1</v>
      </c>
      <c r="H880">
        <v>1</v>
      </c>
      <c r="J880" t="s">
        <v>19</v>
      </c>
      <c r="K880" t="s">
        <v>20</v>
      </c>
      <c r="L880" t="s">
        <v>26</v>
      </c>
    </row>
    <row r="881" spans="2:12">
      <c r="D881" s="34" t="s">
        <v>83</v>
      </c>
      <c r="E881">
        <v>100</v>
      </c>
      <c r="F881">
        <v>2</v>
      </c>
      <c r="H881">
        <v>1</v>
      </c>
      <c r="J881" t="s">
        <v>53</v>
      </c>
      <c r="K881" t="s">
        <v>31</v>
      </c>
      <c r="L881" t="s">
        <v>28</v>
      </c>
    </row>
    <row r="882" spans="2:12">
      <c r="B882" t="s">
        <v>1</v>
      </c>
      <c r="C882" s="5" t="s">
        <v>82</v>
      </c>
      <c r="D882" s="1" t="s">
        <v>83</v>
      </c>
      <c r="E882">
        <v>110</v>
      </c>
      <c r="F882">
        <v>1</v>
      </c>
      <c r="G882" s="32">
        <v>1</v>
      </c>
      <c r="H882">
        <v>1</v>
      </c>
      <c r="J882" t="s">
        <v>19</v>
      </c>
      <c r="K882" t="s">
        <v>20</v>
      </c>
      <c r="L882" t="s">
        <v>26</v>
      </c>
    </row>
    <row r="883" spans="2:12">
      <c r="B883" t="s">
        <v>1</v>
      </c>
      <c r="C883" s="5" t="s">
        <v>82</v>
      </c>
      <c r="D883" s="1" t="s">
        <v>83</v>
      </c>
      <c r="E883">
        <v>110</v>
      </c>
      <c r="F883">
        <v>2</v>
      </c>
      <c r="G883" s="32">
        <v>2</v>
      </c>
      <c r="H883">
        <v>1</v>
      </c>
      <c r="J883" t="s">
        <v>52</v>
      </c>
      <c r="K883" t="s">
        <v>33</v>
      </c>
      <c r="L883" t="s">
        <v>28</v>
      </c>
    </row>
    <row r="884" spans="2:12">
      <c r="B884" t="s">
        <v>1</v>
      </c>
      <c r="C884" s="5" t="s">
        <v>82</v>
      </c>
      <c r="D884" s="1" t="s">
        <v>83</v>
      </c>
      <c r="E884">
        <v>120</v>
      </c>
      <c r="F884">
        <v>1</v>
      </c>
      <c r="G884" s="32">
        <v>1</v>
      </c>
      <c r="H884">
        <v>1</v>
      </c>
      <c r="J884" t="s">
        <v>19</v>
      </c>
      <c r="K884" t="s">
        <v>20</v>
      </c>
      <c r="L884" t="s">
        <v>26</v>
      </c>
    </row>
    <row r="885" spans="2:12">
      <c r="B885" t="s">
        <v>1</v>
      </c>
      <c r="C885" s="5" t="s">
        <v>82</v>
      </c>
      <c r="D885" s="1" t="s">
        <v>83</v>
      </c>
      <c r="E885">
        <v>120</v>
      </c>
      <c r="F885">
        <v>2</v>
      </c>
      <c r="G885" s="32">
        <v>2</v>
      </c>
      <c r="H885">
        <v>1</v>
      </c>
      <c r="J885" t="s">
        <v>52</v>
      </c>
      <c r="K885" t="s">
        <v>37</v>
      </c>
      <c r="L885" t="s">
        <v>28</v>
      </c>
    </row>
    <row r="886" spans="2:12">
      <c r="B886" t="s">
        <v>1</v>
      </c>
      <c r="C886" s="5" t="s">
        <v>82</v>
      </c>
      <c r="D886" s="1" t="s">
        <v>83</v>
      </c>
      <c r="E886">
        <v>130</v>
      </c>
      <c r="F886">
        <v>1</v>
      </c>
      <c r="G886" s="32">
        <v>1</v>
      </c>
      <c r="H886">
        <v>1</v>
      </c>
      <c r="J886" t="s">
        <v>19</v>
      </c>
      <c r="K886" t="s">
        <v>33</v>
      </c>
      <c r="L886" t="s">
        <v>26</v>
      </c>
    </row>
    <row r="887" spans="2:12">
      <c r="B887" t="s">
        <v>1</v>
      </c>
      <c r="C887" s="5" t="s">
        <v>82</v>
      </c>
      <c r="D887" s="1" t="s">
        <v>83</v>
      </c>
      <c r="E887">
        <v>130</v>
      </c>
      <c r="F887">
        <v>2</v>
      </c>
      <c r="G887" s="32">
        <v>2</v>
      </c>
      <c r="H887">
        <v>1</v>
      </c>
      <c r="J887" t="s">
        <v>52</v>
      </c>
      <c r="K887" t="s">
        <v>33</v>
      </c>
      <c r="L887" t="s">
        <v>28</v>
      </c>
    </row>
    <row r="888" spans="2:12">
      <c r="B888" t="s">
        <v>1</v>
      </c>
      <c r="C888" s="5" t="s">
        <v>82</v>
      </c>
      <c r="D888" s="1" t="s">
        <v>83</v>
      </c>
      <c r="E888">
        <v>140</v>
      </c>
      <c r="F888">
        <v>1</v>
      </c>
      <c r="G888" s="32">
        <v>1</v>
      </c>
      <c r="H888">
        <v>1</v>
      </c>
      <c r="J888" t="s">
        <v>19</v>
      </c>
      <c r="K888" t="s">
        <v>20</v>
      </c>
      <c r="L888" t="s">
        <v>26</v>
      </c>
    </row>
    <row r="889" spans="2:12">
      <c r="B889" t="s">
        <v>1</v>
      </c>
      <c r="C889" s="5" t="s">
        <v>82</v>
      </c>
      <c r="D889" s="1" t="s">
        <v>83</v>
      </c>
      <c r="E889">
        <v>140</v>
      </c>
      <c r="F889">
        <v>2</v>
      </c>
      <c r="G889" s="32">
        <v>0</v>
      </c>
      <c r="H889">
        <v>0</v>
      </c>
      <c r="J889" t="s">
        <v>52</v>
      </c>
      <c r="L889" t="s">
        <v>28</v>
      </c>
    </row>
    <row r="890" spans="2:12">
      <c r="D890" s="34" t="s">
        <v>83</v>
      </c>
      <c r="E890">
        <v>150</v>
      </c>
      <c r="F890">
        <v>1</v>
      </c>
      <c r="H890">
        <v>1</v>
      </c>
      <c r="J890" t="s">
        <v>19</v>
      </c>
      <c r="K890" t="s">
        <v>20</v>
      </c>
      <c r="L890" t="s">
        <v>26</v>
      </c>
    </row>
    <row r="891" spans="2:12">
      <c r="D891" s="34" t="s">
        <v>83</v>
      </c>
      <c r="E891">
        <v>150</v>
      </c>
      <c r="F891">
        <v>2</v>
      </c>
      <c r="H891">
        <v>0</v>
      </c>
      <c r="J891" t="s">
        <v>53</v>
      </c>
      <c r="L891" t="s">
        <v>28</v>
      </c>
    </row>
    <row r="892" spans="2:12">
      <c r="D892" s="34" t="s">
        <v>83</v>
      </c>
      <c r="E892">
        <v>160</v>
      </c>
      <c r="F892">
        <v>1</v>
      </c>
      <c r="H892">
        <v>1</v>
      </c>
      <c r="J892" t="s">
        <v>19</v>
      </c>
      <c r="K892" t="s">
        <v>20</v>
      </c>
      <c r="L892" t="s">
        <v>26</v>
      </c>
    </row>
    <row r="893" spans="2:12">
      <c r="D893" s="34" t="s">
        <v>83</v>
      </c>
      <c r="E893">
        <v>160</v>
      </c>
      <c r="F893">
        <v>2</v>
      </c>
      <c r="H893">
        <v>0</v>
      </c>
      <c r="J893" t="s">
        <v>53</v>
      </c>
      <c r="L893" t="s">
        <v>28</v>
      </c>
    </row>
    <row r="894" spans="2:12">
      <c r="B894" t="s">
        <v>1</v>
      </c>
      <c r="C894" s="5" t="s">
        <v>82</v>
      </c>
      <c r="D894" s="1" t="s">
        <v>83</v>
      </c>
      <c r="E894">
        <v>170</v>
      </c>
      <c r="F894">
        <v>1</v>
      </c>
      <c r="G894" s="32">
        <v>1</v>
      </c>
      <c r="H894">
        <v>1</v>
      </c>
      <c r="J894" t="s">
        <v>52</v>
      </c>
      <c r="K894" t="s">
        <v>37</v>
      </c>
      <c r="L894" t="s">
        <v>28</v>
      </c>
    </row>
    <row r="895" spans="2:12">
      <c r="B895" t="s">
        <v>1</v>
      </c>
      <c r="C895" s="5" t="s">
        <v>82</v>
      </c>
      <c r="D895" s="1" t="s">
        <v>83</v>
      </c>
      <c r="E895">
        <v>170</v>
      </c>
      <c r="F895">
        <v>2</v>
      </c>
      <c r="G895" s="32">
        <v>2</v>
      </c>
      <c r="H895">
        <v>1</v>
      </c>
      <c r="J895" t="s">
        <v>19</v>
      </c>
      <c r="K895" t="s">
        <v>20</v>
      </c>
      <c r="L895" t="s">
        <v>26</v>
      </c>
    </row>
    <row r="896" spans="2:12">
      <c r="B896" t="s">
        <v>1</v>
      </c>
      <c r="C896" s="5" t="s">
        <v>82</v>
      </c>
      <c r="D896" s="1" t="s">
        <v>83</v>
      </c>
      <c r="E896">
        <v>180</v>
      </c>
      <c r="F896">
        <v>1</v>
      </c>
      <c r="G896" s="32">
        <v>1</v>
      </c>
      <c r="H896">
        <v>1</v>
      </c>
      <c r="J896" t="s">
        <v>52</v>
      </c>
      <c r="K896" t="s">
        <v>37</v>
      </c>
      <c r="L896" t="s">
        <v>28</v>
      </c>
    </row>
    <row r="897" spans="2:12">
      <c r="B897" t="s">
        <v>1</v>
      </c>
      <c r="C897" s="5" t="s">
        <v>82</v>
      </c>
      <c r="D897" s="1" t="s">
        <v>83</v>
      </c>
      <c r="E897">
        <v>180</v>
      </c>
      <c r="F897">
        <v>2</v>
      </c>
      <c r="G897" s="32">
        <v>2</v>
      </c>
      <c r="H897">
        <v>1</v>
      </c>
      <c r="J897" t="s">
        <v>19</v>
      </c>
      <c r="K897" t="s">
        <v>20</v>
      </c>
      <c r="L897" t="s">
        <v>26</v>
      </c>
    </row>
    <row r="898" spans="2:12">
      <c r="B898" t="s">
        <v>1</v>
      </c>
      <c r="C898" s="5" t="s">
        <v>82</v>
      </c>
      <c r="D898" s="1" t="s">
        <v>83</v>
      </c>
      <c r="E898">
        <v>190</v>
      </c>
      <c r="F898">
        <v>1</v>
      </c>
      <c r="G898" s="32">
        <v>1</v>
      </c>
      <c r="H898">
        <v>1</v>
      </c>
      <c r="J898" t="s">
        <v>19</v>
      </c>
      <c r="K898" t="s">
        <v>20</v>
      </c>
      <c r="L898" t="s">
        <v>26</v>
      </c>
    </row>
    <row r="899" spans="2:12">
      <c r="B899" t="s">
        <v>1</v>
      </c>
      <c r="C899" s="5" t="s">
        <v>82</v>
      </c>
      <c r="D899" s="1" t="s">
        <v>83</v>
      </c>
      <c r="E899">
        <v>190</v>
      </c>
      <c r="F899">
        <v>2</v>
      </c>
      <c r="G899" s="32">
        <v>2</v>
      </c>
      <c r="H899">
        <v>1</v>
      </c>
      <c r="J899" t="s">
        <v>52</v>
      </c>
      <c r="K899" t="s">
        <v>37</v>
      </c>
      <c r="L899" t="s">
        <v>28</v>
      </c>
    </row>
    <row r="900" spans="2:12">
      <c r="D900" s="34" t="s">
        <v>83</v>
      </c>
      <c r="E900">
        <v>200</v>
      </c>
      <c r="F900">
        <v>1</v>
      </c>
      <c r="H900">
        <v>0</v>
      </c>
      <c r="J900" t="s">
        <v>53</v>
      </c>
      <c r="L900" t="s">
        <v>28</v>
      </c>
    </row>
    <row r="901" spans="2:12">
      <c r="D901" s="34" t="s">
        <v>83</v>
      </c>
      <c r="E901">
        <v>210</v>
      </c>
      <c r="F901">
        <v>1</v>
      </c>
      <c r="H901">
        <v>1</v>
      </c>
      <c r="J901" t="s">
        <v>53</v>
      </c>
      <c r="K901" t="s">
        <v>34</v>
      </c>
      <c r="L901" t="s">
        <v>28</v>
      </c>
    </row>
    <row r="902" spans="2:12">
      <c r="D902" s="34" t="s">
        <v>83</v>
      </c>
      <c r="E902">
        <v>220</v>
      </c>
      <c r="F902">
        <v>1</v>
      </c>
      <c r="H902">
        <v>1</v>
      </c>
      <c r="J902" t="s">
        <v>53</v>
      </c>
      <c r="K902" t="s">
        <v>31</v>
      </c>
      <c r="L902" t="s">
        <v>28</v>
      </c>
    </row>
    <row r="903" spans="2:12">
      <c r="B903" t="s">
        <v>1</v>
      </c>
      <c r="C903" s="5" t="s">
        <v>82</v>
      </c>
      <c r="D903" s="1" t="s">
        <v>83</v>
      </c>
      <c r="E903">
        <v>230</v>
      </c>
      <c r="F903">
        <v>1</v>
      </c>
      <c r="G903" s="32">
        <v>1</v>
      </c>
      <c r="H903">
        <v>1</v>
      </c>
      <c r="J903" t="s">
        <v>52</v>
      </c>
      <c r="K903" t="s">
        <v>37</v>
      </c>
      <c r="L903" t="s">
        <v>28</v>
      </c>
    </row>
    <row r="904" spans="2:12">
      <c r="B904" t="s">
        <v>1</v>
      </c>
      <c r="C904" s="5" t="s">
        <v>82</v>
      </c>
      <c r="D904" s="1" t="s">
        <v>83</v>
      </c>
      <c r="E904">
        <v>240</v>
      </c>
      <c r="F904">
        <v>1</v>
      </c>
      <c r="G904" s="32">
        <v>1</v>
      </c>
      <c r="H904">
        <v>1</v>
      </c>
      <c r="J904" t="s">
        <v>52</v>
      </c>
      <c r="K904" t="s">
        <v>33</v>
      </c>
      <c r="L904" t="s">
        <v>28</v>
      </c>
    </row>
    <row r="905" spans="2:12">
      <c r="B905" t="s">
        <v>1</v>
      </c>
      <c r="C905" s="5" t="s">
        <v>82</v>
      </c>
      <c r="D905" s="1" t="s">
        <v>83</v>
      </c>
      <c r="E905">
        <v>250</v>
      </c>
      <c r="F905">
        <v>1</v>
      </c>
      <c r="G905" s="32">
        <v>1</v>
      </c>
      <c r="H905">
        <v>1</v>
      </c>
      <c r="J905" t="s">
        <v>52</v>
      </c>
      <c r="K905" t="s">
        <v>33</v>
      </c>
      <c r="L905" t="s">
        <v>28</v>
      </c>
    </row>
    <row r="906" spans="2:12">
      <c r="B906" t="s">
        <v>1</v>
      </c>
      <c r="C906" s="5" t="s">
        <v>82</v>
      </c>
      <c r="D906" s="1" t="s">
        <v>83</v>
      </c>
      <c r="E906">
        <v>260</v>
      </c>
      <c r="F906">
        <v>1</v>
      </c>
      <c r="G906" s="32">
        <v>1</v>
      </c>
      <c r="H906">
        <v>1</v>
      </c>
      <c r="J906" t="s">
        <v>19</v>
      </c>
      <c r="K906" t="s">
        <v>33</v>
      </c>
      <c r="L906" t="s">
        <v>26</v>
      </c>
    </row>
    <row r="907" spans="2:12">
      <c r="B907" t="s">
        <v>1</v>
      </c>
      <c r="C907" s="5" t="s">
        <v>82</v>
      </c>
      <c r="D907" s="1" t="s">
        <v>83</v>
      </c>
      <c r="E907">
        <v>270</v>
      </c>
      <c r="F907">
        <v>1</v>
      </c>
      <c r="G907" s="32">
        <v>1</v>
      </c>
      <c r="H907">
        <v>1</v>
      </c>
      <c r="J907" t="s">
        <v>19</v>
      </c>
      <c r="K907" t="s">
        <v>33</v>
      </c>
      <c r="L907" t="s">
        <v>26</v>
      </c>
    </row>
    <row r="908" spans="2:12">
      <c r="B908" t="s">
        <v>1</v>
      </c>
      <c r="C908" s="5" t="s">
        <v>82</v>
      </c>
      <c r="D908" s="1" t="s">
        <v>83</v>
      </c>
      <c r="E908">
        <v>270</v>
      </c>
      <c r="F908">
        <v>2</v>
      </c>
      <c r="G908" s="32">
        <v>0</v>
      </c>
      <c r="H908">
        <v>0</v>
      </c>
      <c r="J908" t="s">
        <v>52</v>
      </c>
      <c r="L908" t="s">
        <v>28</v>
      </c>
    </row>
    <row r="909" spans="2:12">
      <c r="D909" s="34" t="s">
        <v>83</v>
      </c>
      <c r="E909">
        <v>280</v>
      </c>
      <c r="F909">
        <v>1</v>
      </c>
      <c r="H909">
        <v>1</v>
      </c>
      <c r="J909" t="s">
        <v>19</v>
      </c>
      <c r="K909" t="s">
        <v>20</v>
      </c>
      <c r="L909" t="s">
        <v>26</v>
      </c>
    </row>
    <row r="910" spans="2:12">
      <c r="D910" s="34" t="s">
        <v>83</v>
      </c>
      <c r="E910">
        <v>280</v>
      </c>
      <c r="F910">
        <v>2</v>
      </c>
      <c r="H910">
        <v>1</v>
      </c>
      <c r="J910" t="s">
        <v>53</v>
      </c>
      <c r="K910" t="s">
        <v>34</v>
      </c>
      <c r="L910" t="s">
        <v>28</v>
      </c>
    </row>
    <row r="911" spans="2:12">
      <c r="B911" t="s">
        <v>1</v>
      </c>
      <c r="C911" s="5" t="s">
        <v>82</v>
      </c>
      <c r="D911" s="1" t="s">
        <v>83</v>
      </c>
      <c r="E911">
        <v>290</v>
      </c>
      <c r="F911">
        <v>1</v>
      </c>
      <c r="G911" s="32">
        <v>1</v>
      </c>
      <c r="H911">
        <v>1</v>
      </c>
      <c r="J911" t="s">
        <v>52</v>
      </c>
      <c r="K911" t="s">
        <v>33</v>
      </c>
      <c r="L911" t="s">
        <v>28</v>
      </c>
    </row>
    <row r="912" spans="2:12">
      <c r="D912" s="34" t="s">
        <v>83</v>
      </c>
      <c r="E912">
        <v>300</v>
      </c>
      <c r="I912" t="s">
        <v>56</v>
      </c>
    </row>
    <row r="913" spans="2:12">
      <c r="D913" s="34" t="s">
        <v>83</v>
      </c>
      <c r="E913">
        <v>310</v>
      </c>
      <c r="I913" t="s">
        <v>56</v>
      </c>
    </row>
    <row r="914" spans="2:12">
      <c r="D914" s="34" t="s">
        <v>83</v>
      </c>
      <c r="E914">
        <v>320</v>
      </c>
      <c r="F914">
        <v>1</v>
      </c>
      <c r="H914">
        <v>1</v>
      </c>
      <c r="J914" t="s">
        <v>19</v>
      </c>
      <c r="K914" t="s">
        <v>20</v>
      </c>
      <c r="L914" t="s">
        <v>26</v>
      </c>
    </row>
    <row r="915" spans="2:12">
      <c r="D915" s="34" t="s">
        <v>83</v>
      </c>
      <c r="E915">
        <v>320</v>
      </c>
      <c r="F915">
        <v>2</v>
      </c>
      <c r="H915">
        <v>1</v>
      </c>
      <c r="J915" t="s">
        <v>53</v>
      </c>
      <c r="K915" t="s">
        <v>34</v>
      </c>
      <c r="L915" t="s">
        <v>28</v>
      </c>
    </row>
    <row r="916" spans="2:12">
      <c r="B916" t="s">
        <v>1</v>
      </c>
      <c r="C916" s="5" t="s">
        <v>82</v>
      </c>
      <c r="D916" s="1" t="s">
        <v>83</v>
      </c>
      <c r="E916">
        <v>330</v>
      </c>
      <c r="F916">
        <v>1</v>
      </c>
      <c r="G916" s="32">
        <v>1</v>
      </c>
      <c r="H916">
        <v>1</v>
      </c>
      <c r="J916" t="s">
        <v>19</v>
      </c>
      <c r="K916" t="s">
        <v>20</v>
      </c>
      <c r="L916" t="s">
        <v>26</v>
      </c>
    </row>
    <row r="917" spans="2:12">
      <c r="B917" t="s">
        <v>1</v>
      </c>
      <c r="C917" s="5" t="s">
        <v>82</v>
      </c>
      <c r="D917" s="1" t="s">
        <v>83</v>
      </c>
      <c r="E917">
        <v>330</v>
      </c>
      <c r="F917">
        <v>2</v>
      </c>
      <c r="G917" s="32">
        <v>2</v>
      </c>
      <c r="H917">
        <v>1</v>
      </c>
      <c r="J917" t="s">
        <v>52</v>
      </c>
      <c r="K917" t="s">
        <v>33</v>
      </c>
      <c r="L917" t="s">
        <v>28</v>
      </c>
    </row>
    <row r="918" spans="2:12">
      <c r="B918" t="s">
        <v>1</v>
      </c>
      <c r="C918" s="4" t="s">
        <v>82</v>
      </c>
      <c r="D918" t="s">
        <v>84</v>
      </c>
      <c r="E918">
        <v>0</v>
      </c>
      <c r="F918">
        <v>1</v>
      </c>
      <c r="G918" s="32">
        <v>1</v>
      </c>
      <c r="H918">
        <v>1</v>
      </c>
      <c r="J918" t="s">
        <v>19</v>
      </c>
      <c r="K918" t="s">
        <v>20</v>
      </c>
      <c r="L918" t="s">
        <v>26</v>
      </c>
    </row>
    <row r="919" spans="2:12">
      <c r="B919" t="s">
        <v>1</v>
      </c>
      <c r="C919" s="4" t="s">
        <v>82</v>
      </c>
      <c r="D919" t="s">
        <v>84</v>
      </c>
      <c r="E919">
        <v>0</v>
      </c>
      <c r="F919">
        <v>2</v>
      </c>
      <c r="G919" s="32">
        <v>0</v>
      </c>
      <c r="H919">
        <v>0</v>
      </c>
      <c r="J919" t="s">
        <v>52</v>
      </c>
      <c r="L919" t="s">
        <v>28</v>
      </c>
    </row>
    <row r="920" spans="2:12">
      <c r="D920" t="s">
        <v>84</v>
      </c>
      <c r="E920">
        <v>10</v>
      </c>
      <c r="F920">
        <v>1</v>
      </c>
      <c r="H920">
        <v>1</v>
      </c>
      <c r="J920" t="s">
        <v>19</v>
      </c>
      <c r="K920" t="s">
        <v>20</v>
      </c>
      <c r="L920" t="s">
        <v>26</v>
      </c>
    </row>
    <row r="921" spans="2:12">
      <c r="D921" t="s">
        <v>84</v>
      </c>
      <c r="E921">
        <v>10</v>
      </c>
      <c r="F921">
        <v>2</v>
      </c>
      <c r="H921">
        <v>0</v>
      </c>
      <c r="J921" t="s">
        <v>53</v>
      </c>
      <c r="L921" t="s">
        <v>28</v>
      </c>
    </row>
    <row r="922" spans="2:12">
      <c r="D922" t="s">
        <v>84</v>
      </c>
      <c r="E922">
        <v>20</v>
      </c>
      <c r="F922">
        <v>1</v>
      </c>
      <c r="H922">
        <v>2</v>
      </c>
      <c r="J922" t="s">
        <v>53</v>
      </c>
      <c r="K922" t="s">
        <v>31</v>
      </c>
      <c r="L922" t="s">
        <v>28</v>
      </c>
    </row>
    <row r="923" spans="2:12">
      <c r="D923" t="s">
        <v>84</v>
      </c>
      <c r="E923">
        <v>30</v>
      </c>
      <c r="F923">
        <v>1</v>
      </c>
      <c r="H923">
        <v>2</v>
      </c>
      <c r="J923" t="s">
        <v>53</v>
      </c>
      <c r="K923" t="s">
        <v>31</v>
      </c>
      <c r="L923" t="s">
        <v>28</v>
      </c>
    </row>
    <row r="924" spans="2:12">
      <c r="B924" t="s">
        <v>1</v>
      </c>
      <c r="C924" s="4" t="s">
        <v>82</v>
      </c>
      <c r="D924" t="s">
        <v>84</v>
      </c>
      <c r="E924">
        <v>40</v>
      </c>
      <c r="F924">
        <v>1</v>
      </c>
      <c r="G924" s="32">
        <v>3</v>
      </c>
      <c r="H924">
        <v>0</v>
      </c>
      <c r="J924" s="12" t="s">
        <v>46</v>
      </c>
    </row>
    <row r="925" spans="2:12">
      <c r="B925" t="s">
        <v>1</v>
      </c>
      <c r="C925" s="4" t="s">
        <v>82</v>
      </c>
      <c r="D925" t="s">
        <v>84</v>
      </c>
      <c r="E925">
        <v>40</v>
      </c>
      <c r="F925">
        <v>2</v>
      </c>
      <c r="G925" s="32">
        <v>0</v>
      </c>
      <c r="H925">
        <v>0</v>
      </c>
      <c r="J925" t="s">
        <v>52</v>
      </c>
      <c r="L925" t="s">
        <v>28</v>
      </c>
    </row>
    <row r="926" spans="2:12">
      <c r="B926" t="s">
        <v>1</v>
      </c>
      <c r="C926" s="4" t="s">
        <v>82</v>
      </c>
      <c r="D926" t="s">
        <v>84</v>
      </c>
      <c r="E926">
        <v>50</v>
      </c>
      <c r="F926">
        <v>1</v>
      </c>
      <c r="G926" s="32">
        <v>1</v>
      </c>
      <c r="H926">
        <v>1</v>
      </c>
      <c r="J926" t="s">
        <v>52</v>
      </c>
      <c r="K926" t="s">
        <v>37</v>
      </c>
      <c r="L926" t="s">
        <v>28</v>
      </c>
    </row>
    <row r="927" spans="2:12">
      <c r="B927" t="s">
        <v>1</v>
      </c>
      <c r="C927" s="4" t="s">
        <v>82</v>
      </c>
      <c r="D927" t="s">
        <v>84</v>
      </c>
      <c r="E927">
        <v>50</v>
      </c>
      <c r="F927">
        <v>2</v>
      </c>
      <c r="G927" s="32">
        <v>2</v>
      </c>
      <c r="H927">
        <v>1</v>
      </c>
      <c r="J927" t="s">
        <v>19</v>
      </c>
      <c r="K927" t="s">
        <v>20</v>
      </c>
      <c r="L927" t="s">
        <v>26</v>
      </c>
    </row>
    <row r="928" spans="2:12">
      <c r="D928" t="s">
        <v>84</v>
      </c>
      <c r="E928">
        <v>60</v>
      </c>
      <c r="F928">
        <v>1</v>
      </c>
      <c r="H928">
        <v>1</v>
      </c>
      <c r="J928" t="s">
        <v>53</v>
      </c>
      <c r="K928" t="s">
        <v>31</v>
      </c>
      <c r="L928" t="s">
        <v>28</v>
      </c>
    </row>
    <row r="929" spans="2:12">
      <c r="D929" t="s">
        <v>84</v>
      </c>
      <c r="E929">
        <v>70</v>
      </c>
      <c r="F929">
        <v>1</v>
      </c>
      <c r="H929">
        <v>2</v>
      </c>
      <c r="J929" t="s">
        <v>53</v>
      </c>
      <c r="K929" t="s">
        <v>31</v>
      </c>
      <c r="L929" t="s">
        <v>28</v>
      </c>
    </row>
    <row r="930" spans="2:12">
      <c r="D930" t="s">
        <v>84</v>
      </c>
      <c r="E930">
        <v>80</v>
      </c>
      <c r="F930">
        <v>1</v>
      </c>
      <c r="H930">
        <v>1</v>
      </c>
      <c r="J930" t="s">
        <v>53</v>
      </c>
      <c r="K930" t="s">
        <v>31</v>
      </c>
      <c r="L930" t="s">
        <v>28</v>
      </c>
    </row>
    <row r="931" spans="2:12">
      <c r="B931" t="s">
        <v>1</v>
      </c>
      <c r="C931" s="4" t="s">
        <v>82</v>
      </c>
      <c r="D931" t="s">
        <v>84</v>
      </c>
      <c r="E931">
        <v>90</v>
      </c>
      <c r="F931">
        <v>1</v>
      </c>
      <c r="G931" s="32">
        <v>3</v>
      </c>
      <c r="H931">
        <v>0</v>
      </c>
      <c r="J931" s="12" t="s">
        <v>46</v>
      </c>
    </row>
    <row r="932" spans="2:12">
      <c r="B932" t="s">
        <v>1</v>
      </c>
      <c r="C932" s="4" t="s">
        <v>82</v>
      </c>
      <c r="D932" t="s">
        <v>84</v>
      </c>
      <c r="E932">
        <v>90</v>
      </c>
      <c r="F932">
        <v>2</v>
      </c>
      <c r="G932" s="32">
        <v>2</v>
      </c>
      <c r="H932">
        <v>1</v>
      </c>
      <c r="J932" t="s">
        <v>52</v>
      </c>
      <c r="K932" t="s">
        <v>37</v>
      </c>
      <c r="L932" t="s">
        <v>28</v>
      </c>
    </row>
    <row r="933" spans="2:12">
      <c r="D933" t="s">
        <v>84</v>
      </c>
      <c r="E933">
        <v>100</v>
      </c>
      <c r="F933">
        <v>1</v>
      </c>
      <c r="H933">
        <v>1</v>
      </c>
      <c r="J933" t="s">
        <v>19</v>
      </c>
      <c r="K933" t="s">
        <v>20</v>
      </c>
      <c r="L933" t="s">
        <v>26</v>
      </c>
    </row>
    <row r="934" spans="2:12">
      <c r="D934" t="s">
        <v>84</v>
      </c>
      <c r="E934">
        <v>100</v>
      </c>
      <c r="F934">
        <v>2</v>
      </c>
      <c r="H934">
        <v>0</v>
      </c>
      <c r="J934" t="s">
        <v>53</v>
      </c>
      <c r="L934" t="s">
        <v>28</v>
      </c>
    </row>
    <row r="935" spans="2:12">
      <c r="B935" t="s">
        <v>1</v>
      </c>
      <c r="C935" s="4" t="s">
        <v>82</v>
      </c>
      <c r="D935" t="s">
        <v>84</v>
      </c>
      <c r="E935">
        <v>110</v>
      </c>
      <c r="F935">
        <v>1</v>
      </c>
      <c r="G935" s="32">
        <v>1</v>
      </c>
      <c r="H935">
        <v>1</v>
      </c>
      <c r="J935" t="s">
        <v>52</v>
      </c>
      <c r="K935" t="s">
        <v>33</v>
      </c>
      <c r="L935" t="s">
        <v>28</v>
      </c>
    </row>
    <row r="936" spans="2:12">
      <c r="D936" t="s">
        <v>84</v>
      </c>
      <c r="E936">
        <v>120</v>
      </c>
      <c r="F936">
        <v>1</v>
      </c>
      <c r="H936">
        <v>1</v>
      </c>
      <c r="J936" t="s">
        <v>19</v>
      </c>
      <c r="K936" t="s">
        <v>20</v>
      </c>
      <c r="L936" t="s">
        <v>26</v>
      </c>
    </row>
    <row r="937" spans="2:12">
      <c r="D937" t="s">
        <v>84</v>
      </c>
      <c r="E937">
        <v>120</v>
      </c>
      <c r="F937">
        <v>2</v>
      </c>
      <c r="H937">
        <v>1</v>
      </c>
      <c r="J937" t="s">
        <v>53</v>
      </c>
      <c r="K937" t="s">
        <v>31</v>
      </c>
      <c r="L937" t="s">
        <v>28</v>
      </c>
    </row>
    <row r="938" spans="2:12">
      <c r="D938" t="s">
        <v>84</v>
      </c>
      <c r="E938">
        <v>130</v>
      </c>
      <c r="F938">
        <v>1</v>
      </c>
      <c r="H938">
        <v>1</v>
      </c>
      <c r="J938" t="s">
        <v>19</v>
      </c>
      <c r="K938" t="s">
        <v>20</v>
      </c>
      <c r="L938" t="s">
        <v>26</v>
      </c>
    </row>
    <row r="939" spans="2:12">
      <c r="D939" t="s">
        <v>84</v>
      </c>
      <c r="E939">
        <v>130</v>
      </c>
      <c r="F939">
        <v>2</v>
      </c>
      <c r="H939">
        <v>0</v>
      </c>
      <c r="J939" t="s">
        <v>53</v>
      </c>
      <c r="L939" t="s">
        <v>28</v>
      </c>
    </row>
    <row r="940" spans="2:12">
      <c r="B940" t="s">
        <v>1</v>
      </c>
      <c r="C940" s="4" t="s">
        <v>82</v>
      </c>
      <c r="D940" t="s">
        <v>84</v>
      </c>
      <c r="E940">
        <v>140</v>
      </c>
      <c r="F940">
        <v>1</v>
      </c>
      <c r="G940" s="32">
        <v>1</v>
      </c>
      <c r="H940">
        <v>1</v>
      </c>
      <c r="J940" t="s">
        <v>19</v>
      </c>
      <c r="K940" t="s">
        <v>20</v>
      </c>
      <c r="L940" t="s">
        <v>26</v>
      </c>
    </row>
    <row r="941" spans="2:12">
      <c r="D941" t="s">
        <v>84</v>
      </c>
      <c r="E941">
        <v>150</v>
      </c>
      <c r="F941">
        <v>1</v>
      </c>
      <c r="H941">
        <v>1</v>
      </c>
      <c r="J941" t="s">
        <v>19</v>
      </c>
      <c r="K941" t="s">
        <v>20</v>
      </c>
      <c r="L941" t="s">
        <v>26</v>
      </c>
    </row>
    <row r="942" spans="2:12">
      <c r="D942" t="s">
        <v>84</v>
      </c>
      <c r="E942">
        <v>150</v>
      </c>
      <c r="F942">
        <v>2</v>
      </c>
      <c r="H942">
        <v>1</v>
      </c>
      <c r="J942" t="s">
        <v>53</v>
      </c>
      <c r="K942" t="s">
        <v>34</v>
      </c>
      <c r="L942" t="s">
        <v>28</v>
      </c>
    </row>
    <row r="943" spans="2:12">
      <c r="D943" t="s">
        <v>84</v>
      </c>
      <c r="E943">
        <v>160</v>
      </c>
      <c r="F943">
        <v>1</v>
      </c>
      <c r="H943">
        <v>1</v>
      </c>
      <c r="J943" t="s">
        <v>19</v>
      </c>
      <c r="K943" t="s">
        <v>20</v>
      </c>
      <c r="L943" t="s">
        <v>26</v>
      </c>
    </row>
    <row r="944" spans="2:12">
      <c r="D944" t="s">
        <v>84</v>
      </c>
      <c r="E944">
        <v>170</v>
      </c>
      <c r="I944" t="s">
        <v>85</v>
      </c>
    </row>
    <row r="945" spans="2:12">
      <c r="D945" t="s">
        <v>84</v>
      </c>
      <c r="E945">
        <v>180</v>
      </c>
      <c r="F945">
        <v>1</v>
      </c>
      <c r="H945">
        <v>1</v>
      </c>
      <c r="J945" t="s">
        <v>57</v>
      </c>
      <c r="K945" t="s">
        <v>34</v>
      </c>
      <c r="L945" t="s">
        <v>28</v>
      </c>
    </row>
    <row r="946" spans="2:12">
      <c r="D946" t="s">
        <v>84</v>
      </c>
      <c r="E946">
        <v>190</v>
      </c>
      <c r="F946">
        <v>1</v>
      </c>
      <c r="H946">
        <v>0</v>
      </c>
      <c r="J946" t="s">
        <v>19</v>
      </c>
      <c r="L946" t="s">
        <v>26</v>
      </c>
    </row>
    <row r="947" spans="2:12">
      <c r="B947" t="s">
        <v>1</v>
      </c>
      <c r="C947" s="4" t="s">
        <v>82</v>
      </c>
      <c r="D947" t="s">
        <v>84</v>
      </c>
      <c r="E947">
        <v>200</v>
      </c>
      <c r="F947">
        <v>1</v>
      </c>
      <c r="G947" s="32">
        <v>1</v>
      </c>
      <c r="H947">
        <v>1</v>
      </c>
      <c r="J947" t="s">
        <v>19</v>
      </c>
      <c r="K947" t="s">
        <v>20</v>
      </c>
      <c r="L947" t="s">
        <v>26</v>
      </c>
    </row>
    <row r="948" spans="2:12">
      <c r="D948" t="s">
        <v>84</v>
      </c>
      <c r="E948">
        <v>210</v>
      </c>
      <c r="F948">
        <v>1</v>
      </c>
      <c r="H948">
        <v>1</v>
      </c>
      <c r="J948" t="s">
        <v>53</v>
      </c>
      <c r="K948" t="s">
        <v>31</v>
      </c>
      <c r="L948" t="s">
        <v>28</v>
      </c>
    </row>
    <row r="949" spans="2:12">
      <c r="B949" t="s">
        <v>1</v>
      </c>
      <c r="C949" s="4" t="s">
        <v>82</v>
      </c>
      <c r="D949" t="s">
        <v>84</v>
      </c>
      <c r="E949">
        <v>220</v>
      </c>
      <c r="F949">
        <v>1</v>
      </c>
      <c r="G949" s="32">
        <v>3</v>
      </c>
      <c r="H949">
        <v>0</v>
      </c>
      <c r="J949" s="12" t="s">
        <v>46</v>
      </c>
    </row>
    <row r="950" spans="2:12">
      <c r="B950" t="s">
        <v>1</v>
      </c>
      <c r="C950" s="4" t="s">
        <v>82</v>
      </c>
      <c r="D950" t="s">
        <v>84</v>
      </c>
      <c r="E950">
        <v>220</v>
      </c>
      <c r="F950">
        <v>2</v>
      </c>
      <c r="G950" s="32">
        <v>0</v>
      </c>
      <c r="H950">
        <v>0</v>
      </c>
      <c r="J950" t="s">
        <v>52</v>
      </c>
      <c r="L950" t="s">
        <v>28</v>
      </c>
    </row>
    <row r="951" spans="2:12">
      <c r="D951" t="s">
        <v>84</v>
      </c>
      <c r="E951">
        <v>230</v>
      </c>
      <c r="F951">
        <v>1</v>
      </c>
      <c r="H951">
        <v>1</v>
      </c>
      <c r="J951" t="s">
        <v>53</v>
      </c>
      <c r="K951" t="s">
        <v>34</v>
      </c>
      <c r="L951" t="s">
        <v>28</v>
      </c>
    </row>
    <row r="952" spans="2:12">
      <c r="D952" t="s">
        <v>84</v>
      </c>
      <c r="E952">
        <v>240</v>
      </c>
      <c r="F952">
        <v>1</v>
      </c>
      <c r="H952">
        <v>1</v>
      </c>
      <c r="J952" t="s">
        <v>53</v>
      </c>
      <c r="K952" t="s">
        <v>34</v>
      </c>
      <c r="L952" t="s">
        <v>28</v>
      </c>
    </row>
    <row r="953" spans="2:12">
      <c r="D953" t="s">
        <v>84</v>
      </c>
      <c r="E953">
        <v>250</v>
      </c>
      <c r="F953">
        <v>0</v>
      </c>
    </row>
    <row r="954" spans="2:12">
      <c r="D954" t="s">
        <v>84</v>
      </c>
      <c r="E954">
        <v>260</v>
      </c>
      <c r="F954">
        <v>1</v>
      </c>
      <c r="H954">
        <v>1</v>
      </c>
      <c r="J954" t="s">
        <v>53</v>
      </c>
      <c r="K954" t="s">
        <v>34</v>
      </c>
      <c r="L954" t="s">
        <v>28</v>
      </c>
    </row>
    <row r="955" spans="2:12">
      <c r="B955" t="s">
        <v>1</v>
      </c>
      <c r="C955" s="4" t="s">
        <v>82</v>
      </c>
      <c r="D955" t="s">
        <v>84</v>
      </c>
      <c r="E955">
        <v>270</v>
      </c>
      <c r="F955">
        <v>1</v>
      </c>
      <c r="G955" s="32">
        <v>3</v>
      </c>
      <c r="H955">
        <v>0</v>
      </c>
      <c r="J955" t="s">
        <v>52</v>
      </c>
      <c r="L955" t="s">
        <v>28</v>
      </c>
    </row>
    <row r="956" spans="2:12">
      <c r="B956" t="s">
        <v>1</v>
      </c>
      <c r="C956" s="4" t="s">
        <v>82</v>
      </c>
      <c r="D956" t="s">
        <v>84</v>
      </c>
      <c r="E956">
        <v>280</v>
      </c>
      <c r="F956">
        <v>1</v>
      </c>
      <c r="G956" s="32">
        <v>1</v>
      </c>
      <c r="H956">
        <v>1</v>
      </c>
      <c r="J956" t="s">
        <v>19</v>
      </c>
      <c r="K956" t="s">
        <v>20</v>
      </c>
      <c r="L956" t="s">
        <v>26</v>
      </c>
    </row>
    <row r="957" spans="2:12">
      <c r="B957" t="s">
        <v>1</v>
      </c>
      <c r="C957" s="4" t="s">
        <v>82</v>
      </c>
      <c r="D957" t="s">
        <v>84</v>
      </c>
      <c r="E957">
        <v>280</v>
      </c>
      <c r="F957">
        <v>2</v>
      </c>
      <c r="G957" s="32">
        <v>0</v>
      </c>
      <c r="H957">
        <v>0</v>
      </c>
      <c r="J957" t="s">
        <v>42</v>
      </c>
      <c r="L957" t="s">
        <v>26</v>
      </c>
    </row>
    <row r="958" spans="2:12">
      <c r="B958" t="s">
        <v>1</v>
      </c>
      <c r="C958" s="4" t="s">
        <v>82</v>
      </c>
      <c r="D958" t="s">
        <v>84</v>
      </c>
      <c r="E958">
        <v>290</v>
      </c>
      <c r="F958">
        <v>1</v>
      </c>
      <c r="G958" s="32">
        <v>1</v>
      </c>
      <c r="H958">
        <v>1</v>
      </c>
      <c r="J958" t="s">
        <v>47</v>
      </c>
      <c r="K958" t="s">
        <v>47</v>
      </c>
      <c r="L958" t="s">
        <v>28</v>
      </c>
    </row>
    <row r="959" spans="2:12">
      <c r="D959" t="s">
        <v>84</v>
      </c>
      <c r="E959">
        <v>300</v>
      </c>
      <c r="F959">
        <v>1</v>
      </c>
      <c r="H959">
        <v>1</v>
      </c>
      <c r="J959" t="s">
        <v>19</v>
      </c>
      <c r="K959" t="s">
        <v>20</v>
      </c>
      <c r="L959" t="s">
        <v>26</v>
      </c>
    </row>
    <row r="960" spans="2:12">
      <c r="D960" t="s">
        <v>84</v>
      </c>
      <c r="E960">
        <v>310</v>
      </c>
      <c r="F960">
        <v>1</v>
      </c>
      <c r="H960">
        <v>0</v>
      </c>
      <c r="J960" t="s">
        <v>38</v>
      </c>
      <c r="L960" t="s">
        <v>28</v>
      </c>
    </row>
    <row r="961" spans="2:12">
      <c r="B961" t="s">
        <v>1</v>
      </c>
      <c r="C961" s="4" t="s">
        <v>82</v>
      </c>
      <c r="D961" t="s">
        <v>84</v>
      </c>
      <c r="E961">
        <v>320</v>
      </c>
      <c r="F961">
        <v>1</v>
      </c>
      <c r="G961" s="32">
        <v>3</v>
      </c>
      <c r="H961">
        <v>0</v>
      </c>
      <c r="J961" t="s">
        <v>86</v>
      </c>
      <c r="L961" t="s">
        <v>28</v>
      </c>
    </row>
    <row r="962" spans="2:12">
      <c r="B962" t="s">
        <v>1</v>
      </c>
      <c r="C962" s="4" t="s">
        <v>82</v>
      </c>
      <c r="D962" t="s">
        <v>84</v>
      </c>
      <c r="E962">
        <v>330</v>
      </c>
      <c r="F962">
        <v>1</v>
      </c>
      <c r="G962" s="32">
        <v>1</v>
      </c>
      <c r="H962">
        <v>1</v>
      </c>
      <c r="J962" t="s">
        <v>35</v>
      </c>
      <c r="K962" t="s">
        <v>36</v>
      </c>
      <c r="L962" t="s">
        <v>28</v>
      </c>
    </row>
    <row r="963" spans="2:12">
      <c r="D963" s="34" t="s">
        <v>87</v>
      </c>
      <c r="E963">
        <v>0</v>
      </c>
      <c r="I963" t="s">
        <v>56</v>
      </c>
    </row>
    <row r="964" spans="2:12">
      <c r="D964" s="34" t="s">
        <v>87</v>
      </c>
      <c r="E964">
        <v>10</v>
      </c>
      <c r="I964" t="s">
        <v>56</v>
      </c>
    </row>
    <row r="965" spans="2:12">
      <c r="D965" s="34" t="s">
        <v>87</v>
      </c>
      <c r="E965">
        <v>20</v>
      </c>
      <c r="I965" t="s">
        <v>56</v>
      </c>
    </row>
    <row r="966" spans="2:12">
      <c r="D966" s="34" t="s">
        <v>87</v>
      </c>
      <c r="E966">
        <v>30</v>
      </c>
      <c r="I966" t="s">
        <v>56</v>
      </c>
    </row>
    <row r="967" spans="2:12">
      <c r="D967" s="34" t="s">
        <v>87</v>
      </c>
      <c r="E967">
        <v>40</v>
      </c>
      <c r="F967">
        <v>1</v>
      </c>
      <c r="H967">
        <v>1</v>
      </c>
      <c r="J967" t="s">
        <v>19</v>
      </c>
      <c r="K967" t="s">
        <v>20</v>
      </c>
      <c r="L967" t="s">
        <v>26</v>
      </c>
    </row>
    <row r="968" spans="2:12">
      <c r="D968" s="34" t="s">
        <v>87</v>
      </c>
      <c r="E968">
        <v>40</v>
      </c>
      <c r="F968">
        <v>2</v>
      </c>
      <c r="H968">
        <v>0</v>
      </c>
      <c r="J968" t="s">
        <v>53</v>
      </c>
      <c r="K968" t="s">
        <v>34</v>
      </c>
      <c r="L968" t="s">
        <v>28</v>
      </c>
    </row>
    <row r="969" spans="2:12">
      <c r="D969" s="34" t="s">
        <v>87</v>
      </c>
      <c r="E969">
        <v>50</v>
      </c>
      <c r="F969">
        <v>1</v>
      </c>
      <c r="H969">
        <v>1</v>
      </c>
      <c r="J969" t="s">
        <v>19</v>
      </c>
      <c r="K969" t="s">
        <v>20</v>
      </c>
      <c r="L969" t="s">
        <v>26</v>
      </c>
    </row>
    <row r="970" spans="2:12">
      <c r="D970" s="34" t="s">
        <v>87</v>
      </c>
      <c r="E970">
        <v>50</v>
      </c>
      <c r="F970">
        <v>2</v>
      </c>
      <c r="H970">
        <v>1</v>
      </c>
      <c r="J970" t="s">
        <v>53</v>
      </c>
      <c r="K970" t="s">
        <v>31</v>
      </c>
      <c r="L970" t="s">
        <v>28</v>
      </c>
    </row>
    <row r="971" spans="2:12">
      <c r="B971" t="s">
        <v>1</v>
      </c>
      <c r="C971" s="5" t="s">
        <v>88</v>
      </c>
      <c r="D971" s="1" t="s">
        <v>87</v>
      </c>
      <c r="E971">
        <v>60</v>
      </c>
      <c r="F971">
        <v>1</v>
      </c>
      <c r="G971" s="32">
        <v>1</v>
      </c>
      <c r="H971">
        <v>1</v>
      </c>
      <c r="J971" t="s">
        <v>52</v>
      </c>
      <c r="K971" t="s">
        <v>33</v>
      </c>
      <c r="L971" t="s">
        <v>28</v>
      </c>
    </row>
    <row r="972" spans="2:12">
      <c r="B972" t="s">
        <v>1</v>
      </c>
      <c r="C972" s="5" t="s">
        <v>88</v>
      </c>
      <c r="D972" s="1" t="s">
        <v>87</v>
      </c>
      <c r="E972">
        <v>60</v>
      </c>
      <c r="F972">
        <v>2</v>
      </c>
      <c r="G972" s="32">
        <v>2</v>
      </c>
      <c r="H972">
        <v>1</v>
      </c>
      <c r="J972" t="s">
        <v>19</v>
      </c>
      <c r="K972" t="s">
        <v>20</v>
      </c>
      <c r="L972" t="s">
        <v>26</v>
      </c>
    </row>
    <row r="973" spans="2:12">
      <c r="B973" t="s">
        <v>1</v>
      </c>
      <c r="C973" s="5" t="s">
        <v>88</v>
      </c>
      <c r="D973" s="1" t="s">
        <v>87</v>
      </c>
      <c r="E973">
        <v>70</v>
      </c>
      <c r="F973">
        <v>1</v>
      </c>
      <c r="G973" s="32">
        <v>1</v>
      </c>
      <c r="H973">
        <v>1</v>
      </c>
      <c r="J973" t="s">
        <v>19</v>
      </c>
      <c r="K973" t="s">
        <v>20</v>
      </c>
      <c r="L973" t="s">
        <v>26</v>
      </c>
    </row>
    <row r="974" spans="2:12">
      <c r="B974" t="s">
        <v>1</v>
      </c>
      <c r="C974" s="5" t="s">
        <v>88</v>
      </c>
      <c r="D974" s="1" t="s">
        <v>87</v>
      </c>
      <c r="E974">
        <v>70</v>
      </c>
      <c r="F974">
        <v>2</v>
      </c>
      <c r="G974" s="32">
        <v>0</v>
      </c>
      <c r="H974">
        <v>0</v>
      </c>
      <c r="J974" t="s">
        <v>52</v>
      </c>
      <c r="L974" t="s">
        <v>28</v>
      </c>
    </row>
    <row r="975" spans="2:12">
      <c r="D975" s="34" t="s">
        <v>87</v>
      </c>
      <c r="E975">
        <v>80</v>
      </c>
      <c r="F975">
        <v>1</v>
      </c>
      <c r="H975">
        <v>1</v>
      </c>
      <c r="J975" t="s">
        <v>53</v>
      </c>
      <c r="K975" t="s">
        <v>31</v>
      </c>
      <c r="L975" t="s">
        <v>28</v>
      </c>
    </row>
    <row r="976" spans="2:12">
      <c r="D976" s="34" t="s">
        <v>87</v>
      </c>
      <c r="E976">
        <v>90</v>
      </c>
      <c r="F976">
        <v>1</v>
      </c>
      <c r="H976">
        <v>1</v>
      </c>
      <c r="J976" t="s">
        <v>53</v>
      </c>
      <c r="K976" t="s">
        <v>31</v>
      </c>
      <c r="L976" t="s">
        <v>28</v>
      </c>
    </row>
    <row r="977" spans="4:12">
      <c r="D977" s="34" t="s">
        <v>87</v>
      </c>
      <c r="E977">
        <v>100</v>
      </c>
      <c r="F977">
        <v>1</v>
      </c>
      <c r="H977">
        <v>1</v>
      </c>
      <c r="J977" t="s">
        <v>53</v>
      </c>
      <c r="K977" t="s">
        <v>31</v>
      </c>
      <c r="L977" t="s">
        <v>28</v>
      </c>
    </row>
    <row r="978" spans="4:12">
      <c r="D978" s="34" t="s">
        <v>87</v>
      </c>
      <c r="E978">
        <v>110</v>
      </c>
      <c r="I978" t="s">
        <v>85</v>
      </c>
    </row>
    <row r="979" spans="4:12">
      <c r="D979" s="34" t="s">
        <v>87</v>
      </c>
      <c r="E979">
        <v>120</v>
      </c>
      <c r="F979">
        <v>1</v>
      </c>
      <c r="H979">
        <v>1</v>
      </c>
      <c r="J979" t="s">
        <v>53</v>
      </c>
      <c r="K979" t="s">
        <v>31</v>
      </c>
      <c r="L979" t="s">
        <v>28</v>
      </c>
    </row>
    <row r="980" spans="4:12">
      <c r="D980" s="34" t="s">
        <v>87</v>
      </c>
      <c r="E980">
        <v>130</v>
      </c>
      <c r="F980">
        <v>1</v>
      </c>
      <c r="H980">
        <v>1</v>
      </c>
      <c r="I980" t="s">
        <v>70</v>
      </c>
      <c r="J980" t="s">
        <v>19</v>
      </c>
      <c r="K980" t="s">
        <v>20</v>
      </c>
      <c r="L980" t="s">
        <v>26</v>
      </c>
    </row>
    <row r="981" spans="4:12">
      <c r="D981" s="34" t="s">
        <v>87</v>
      </c>
      <c r="E981">
        <v>140</v>
      </c>
      <c r="F981">
        <v>1</v>
      </c>
      <c r="H981">
        <v>1</v>
      </c>
      <c r="J981" t="s">
        <v>53</v>
      </c>
      <c r="K981" t="s">
        <v>31</v>
      </c>
      <c r="L981" t="s">
        <v>28</v>
      </c>
    </row>
    <row r="982" spans="4:12">
      <c r="D982" s="34" t="s">
        <v>87</v>
      </c>
      <c r="E982">
        <v>150</v>
      </c>
      <c r="F982">
        <v>1</v>
      </c>
      <c r="H982">
        <v>1</v>
      </c>
      <c r="J982" t="s">
        <v>53</v>
      </c>
      <c r="K982" t="s">
        <v>34</v>
      </c>
      <c r="L982" t="s">
        <v>28</v>
      </c>
    </row>
    <row r="983" spans="4:12">
      <c r="D983" s="34" t="s">
        <v>87</v>
      </c>
      <c r="E983">
        <v>160</v>
      </c>
      <c r="F983">
        <v>1</v>
      </c>
      <c r="H983">
        <v>1</v>
      </c>
      <c r="J983" t="s">
        <v>53</v>
      </c>
      <c r="K983" t="s">
        <v>34</v>
      </c>
      <c r="L983" t="s">
        <v>28</v>
      </c>
    </row>
    <row r="984" spans="4:12">
      <c r="D984" s="34" t="s">
        <v>87</v>
      </c>
      <c r="E984">
        <v>170</v>
      </c>
      <c r="F984">
        <v>1</v>
      </c>
      <c r="H984">
        <v>1</v>
      </c>
      <c r="J984" t="s">
        <v>53</v>
      </c>
      <c r="K984" t="s">
        <v>34</v>
      </c>
      <c r="L984" t="s">
        <v>28</v>
      </c>
    </row>
    <row r="985" spans="4:12">
      <c r="D985" s="34" t="s">
        <v>87</v>
      </c>
      <c r="E985">
        <v>180</v>
      </c>
      <c r="F985">
        <v>1</v>
      </c>
      <c r="H985">
        <v>1</v>
      </c>
      <c r="J985" t="s">
        <v>53</v>
      </c>
      <c r="K985" t="s">
        <v>31</v>
      </c>
      <c r="L985" t="s">
        <v>28</v>
      </c>
    </row>
    <row r="986" spans="4:12">
      <c r="D986" s="34" t="s">
        <v>87</v>
      </c>
      <c r="E986">
        <v>190</v>
      </c>
      <c r="F986">
        <v>1</v>
      </c>
      <c r="H986">
        <v>0</v>
      </c>
      <c r="J986" t="s">
        <v>53</v>
      </c>
      <c r="L986" t="s">
        <v>28</v>
      </c>
    </row>
    <row r="987" spans="4:12">
      <c r="D987" s="34" t="s">
        <v>87</v>
      </c>
      <c r="E987">
        <v>200</v>
      </c>
      <c r="F987">
        <v>1</v>
      </c>
      <c r="H987">
        <v>1</v>
      </c>
      <c r="J987" t="s">
        <v>53</v>
      </c>
      <c r="K987" t="s">
        <v>34</v>
      </c>
      <c r="L987" t="s">
        <v>28</v>
      </c>
    </row>
    <row r="988" spans="4:12">
      <c r="D988" s="34" t="s">
        <v>87</v>
      </c>
      <c r="E988">
        <v>210</v>
      </c>
      <c r="F988">
        <v>1</v>
      </c>
      <c r="H988">
        <v>0</v>
      </c>
      <c r="J988" t="s">
        <v>53</v>
      </c>
      <c r="L988" t="s">
        <v>28</v>
      </c>
    </row>
    <row r="989" spans="4:12">
      <c r="D989" s="34" t="s">
        <v>87</v>
      </c>
      <c r="E989">
        <v>220</v>
      </c>
      <c r="F989">
        <v>0</v>
      </c>
    </row>
    <row r="990" spans="4:12">
      <c r="D990" s="34" t="s">
        <v>87</v>
      </c>
      <c r="E990">
        <v>230</v>
      </c>
      <c r="F990">
        <v>1</v>
      </c>
      <c r="H990">
        <v>1</v>
      </c>
      <c r="J990" t="s">
        <v>19</v>
      </c>
      <c r="K990" t="s">
        <v>20</v>
      </c>
      <c r="L990" t="s">
        <v>26</v>
      </c>
    </row>
    <row r="991" spans="4:12">
      <c r="D991" s="34" t="s">
        <v>87</v>
      </c>
      <c r="E991">
        <v>240</v>
      </c>
      <c r="F991">
        <v>1</v>
      </c>
      <c r="H991">
        <v>1</v>
      </c>
      <c r="J991" t="s">
        <v>19</v>
      </c>
      <c r="K991" t="s">
        <v>20</v>
      </c>
      <c r="L991" t="s">
        <v>26</v>
      </c>
    </row>
    <row r="992" spans="4:12">
      <c r="D992" s="34" t="s">
        <v>87</v>
      </c>
      <c r="E992">
        <v>240</v>
      </c>
      <c r="F992">
        <v>2</v>
      </c>
      <c r="H992">
        <v>0</v>
      </c>
      <c r="J992" t="s">
        <v>57</v>
      </c>
      <c r="L992" t="s">
        <v>28</v>
      </c>
    </row>
    <row r="993" spans="2:12">
      <c r="D993" s="34" t="s">
        <v>87</v>
      </c>
      <c r="E993">
        <v>250</v>
      </c>
      <c r="F993">
        <v>1</v>
      </c>
      <c r="H993">
        <v>2</v>
      </c>
      <c r="J993" t="s">
        <v>57</v>
      </c>
      <c r="K993" t="s">
        <v>34</v>
      </c>
      <c r="L993" t="s">
        <v>28</v>
      </c>
    </row>
    <row r="994" spans="2:12">
      <c r="D994" s="34" t="s">
        <v>87</v>
      </c>
      <c r="E994">
        <v>250</v>
      </c>
      <c r="F994">
        <v>2</v>
      </c>
      <c r="H994">
        <v>1</v>
      </c>
      <c r="J994" t="s">
        <v>19</v>
      </c>
      <c r="K994" t="s">
        <v>20</v>
      </c>
      <c r="L994" t="s">
        <v>26</v>
      </c>
    </row>
    <row r="995" spans="2:12">
      <c r="D995" s="34" t="s">
        <v>87</v>
      </c>
      <c r="E995">
        <v>260</v>
      </c>
      <c r="F995">
        <v>1</v>
      </c>
      <c r="H995">
        <v>1</v>
      </c>
      <c r="J995" t="s">
        <v>57</v>
      </c>
      <c r="K995" t="s">
        <v>34</v>
      </c>
      <c r="L995" t="s">
        <v>28</v>
      </c>
    </row>
    <row r="996" spans="2:12">
      <c r="D996" s="34" t="s">
        <v>87</v>
      </c>
      <c r="E996">
        <v>270</v>
      </c>
      <c r="F996">
        <v>1</v>
      </c>
      <c r="H996">
        <v>2</v>
      </c>
      <c r="J996" t="s">
        <v>57</v>
      </c>
      <c r="K996" t="s">
        <v>34</v>
      </c>
      <c r="L996" t="s">
        <v>28</v>
      </c>
    </row>
    <row r="997" spans="2:12">
      <c r="D997" s="34" t="s">
        <v>87</v>
      </c>
      <c r="E997">
        <v>280</v>
      </c>
      <c r="F997">
        <v>1</v>
      </c>
      <c r="H997">
        <v>1</v>
      </c>
      <c r="J997" t="s">
        <v>19</v>
      </c>
      <c r="K997" t="s">
        <v>20</v>
      </c>
      <c r="L997" t="s">
        <v>26</v>
      </c>
    </row>
    <row r="998" spans="2:12">
      <c r="D998" s="34" t="s">
        <v>87</v>
      </c>
      <c r="E998">
        <v>290</v>
      </c>
      <c r="F998">
        <v>1</v>
      </c>
      <c r="H998">
        <v>1</v>
      </c>
      <c r="J998" t="s">
        <v>19</v>
      </c>
      <c r="K998" t="s">
        <v>20</v>
      </c>
      <c r="L998" t="s">
        <v>26</v>
      </c>
    </row>
    <row r="999" spans="2:12">
      <c r="D999" s="34" t="s">
        <v>87</v>
      </c>
      <c r="E999">
        <v>290</v>
      </c>
      <c r="F999">
        <v>2</v>
      </c>
      <c r="H999">
        <v>0</v>
      </c>
      <c r="J999" t="s">
        <v>53</v>
      </c>
      <c r="L999" t="s">
        <v>28</v>
      </c>
    </row>
    <row r="1000" spans="2:12">
      <c r="D1000" s="34" t="s">
        <v>87</v>
      </c>
      <c r="E1000">
        <v>300</v>
      </c>
      <c r="F1000">
        <v>1</v>
      </c>
      <c r="H1000">
        <v>1</v>
      </c>
      <c r="J1000" t="s">
        <v>53</v>
      </c>
      <c r="K1000" t="s">
        <v>31</v>
      </c>
      <c r="L1000" t="s">
        <v>28</v>
      </c>
    </row>
    <row r="1001" spans="2:12">
      <c r="D1001" s="34" t="s">
        <v>87</v>
      </c>
      <c r="E1001">
        <v>310</v>
      </c>
      <c r="F1001">
        <v>1</v>
      </c>
      <c r="H1001">
        <v>1</v>
      </c>
      <c r="J1001" t="s">
        <v>19</v>
      </c>
      <c r="K1001" t="s">
        <v>20</v>
      </c>
      <c r="L1001" t="s">
        <v>26</v>
      </c>
    </row>
    <row r="1002" spans="2:12">
      <c r="D1002" s="34" t="s">
        <v>87</v>
      </c>
      <c r="E1002">
        <v>310</v>
      </c>
      <c r="F1002">
        <v>2</v>
      </c>
      <c r="H1002">
        <v>0</v>
      </c>
      <c r="J1002" t="s">
        <v>53</v>
      </c>
      <c r="L1002" t="s">
        <v>28</v>
      </c>
    </row>
    <row r="1003" spans="2:12">
      <c r="B1003" t="s">
        <v>1</v>
      </c>
      <c r="C1003" s="5" t="s">
        <v>88</v>
      </c>
      <c r="D1003" s="1" t="s">
        <v>87</v>
      </c>
      <c r="E1003">
        <v>320</v>
      </c>
      <c r="F1003">
        <v>1</v>
      </c>
      <c r="G1003" s="32">
        <v>1</v>
      </c>
      <c r="H1003">
        <v>1</v>
      </c>
      <c r="J1003" t="s">
        <v>52</v>
      </c>
      <c r="K1003" t="s">
        <v>33</v>
      </c>
      <c r="L1003" t="s">
        <v>28</v>
      </c>
    </row>
    <row r="1004" spans="2:12">
      <c r="D1004" s="34" t="s">
        <v>87</v>
      </c>
      <c r="E1004">
        <v>330</v>
      </c>
      <c r="F1004">
        <v>1</v>
      </c>
      <c r="H1004">
        <v>1</v>
      </c>
      <c r="J1004" t="s">
        <v>53</v>
      </c>
      <c r="K1004" t="s">
        <v>31</v>
      </c>
      <c r="L1004" t="s">
        <v>28</v>
      </c>
    </row>
    <row r="1005" spans="2:12">
      <c r="D1005" t="s">
        <v>89</v>
      </c>
      <c r="E1005">
        <v>0</v>
      </c>
      <c r="F1005">
        <v>1</v>
      </c>
      <c r="H1005">
        <v>1</v>
      </c>
      <c r="J1005" t="s">
        <v>53</v>
      </c>
      <c r="K1005" t="s">
        <v>31</v>
      </c>
      <c r="L1005" t="s">
        <v>28</v>
      </c>
    </row>
    <row r="1006" spans="2:12">
      <c r="D1006" t="s">
        <v>89</v>
      </c>
      <c r="E1006">
        <v>10</v>
      </c>
      <c r="F1006">
        <v>1</v>
      </c>
      <c r="H1006">
        <v>1</v>
      </c>
      <c r="J1006" t="s">
        <v>53</v>
      </c>
      <c r="K1006" t="s">
        <v>31</v>
      </c>
      <c r="L1006" t="s">
        <v>28</v>
      </c>
    </row>
    <row r="1007" spans="2:12">
      <c r="D1007" t="s">
        <v>89</v>
      </c>
      <c r="E1007">
        <v>20</v>
      </c>
      <c r="F1007">
        <v>1</v>
      </c>
      <c r="H1007">
        <v>1</v>
      </c>
      <c r="J1007" t="s">
        <v>53</v>
      </c>
      <c r="K1007" t="s">
        <v>31</v>
      </c>
      <c r="L1007" t="s">
        <v>28</v>
      </c>
    </row>
    <row r="1008" spans="2:12">
      <c r="D1008" t="s">
        <v>89</v>
      </c>
      <c r="E1008">
        <v>30</v>
      </c>
      <c r="F1008">
        <v>1</v>
      </c>
      <c r="H1008">
        <v>0</v>
      </c>
      <c r="J1008" t="s">
        <v>53</v>
      </c>
      <c r="L1008" t="s">
        <v>28</v>
      </c>
    </row>
    <row r="1009" spans="2:12">
      <c r="B1009" t="s">
        <v>1</v>
      </c>
      <c r="C1009" s="4" t="s">
        <v>88</v>
      </c>
      <c r="D1009" t="s">
        <v>89</v>
      </c>
      <c r="E1009">
        <v>40</v>
      </c>
      <c r="F1009">
        <v>1</v>
      </c>
      <c r="G1009" s="32">
        <v>3</v>
      </c>
      <c r="H1009">
        <v>0</v>
      </c>
      <c r="J1009" s="12" t="s">
        <v>46</v>
      </c>
    </row>
    <row r="1010" spans="2:12">
      <c r="B1010" t="s">
        <v>1</v>
      </c>
      <c r="C1010" s="4" t="s">
        <v>88</v>
      </c>
      <c r="D1010" t="s">
        <v>89</v>
      </c>
      <c r="E1010">
        <v>40</v>
      </c>
      <c r="F1010">
        <v>2</v>
      </c>
      <c r="G1010" s="32">
        <v>2</v>
      </c>
      <c r="H1010">
        <v>1</v>
      </c>
      <c r="J1010" t="s">
        <v>52</v>
      </c>
      <c r="K1010" t="s">
        <v>33</v>
      </c>
      <c r="L1010" t="s">
        <v>28</v>
      </c>
    </row>
    <row r="1011" spans="2:12">
      <c r="D1011" t="s">
        <v>89</v>
      </c>
      <c r="E1011">
        <v>50</v>
      </c>
      <c r="F1011">
        <v>1</v>
      </c>
      <c r="H1011">
        <v>0</v>
      </c>
      <c r="J1011" t="s">
        <v>53</v>
      </c>
      <c r="L1011" t="s">
        <v>28</v>
      </c>
    </row>
    <row r="1012" spans="2:12">
      <c r="D1012" t="s">
        <v>89</v>
      </c>
      <c r="E1012">
        <v>60</v>
      </c>
      <c r="F1012">
        <v>1</v>
      </c>
      <c r="H1012">
        <v>1</v>
      </c>
      <c r="J1012" t="s">
        <v>53</v>
      </c>
      <c r="L1012" t="s">
        <v>28</v>
      </c>
    </row>
    <row r="1013" spans="2:12">
      <c r="D1013" t="s">
        <v>89</v>
      </c>
      <c r="E1013">
        <v>70</v>
      </c>
      <c r="I1013" t="s">
        <v>85</v>
      </c>
    </row>
    <row r="1014" spans="2:12">
      <c r="B1014" t="s">
        <v>1</v>
      </c>
      <c r="C1014" s="4" t="s">
        <v>88</v>
      </c>
      <c r="D1014" t="s">
        <v>89</v>
      </c>
      <c r="E1014">
        <v>80</v>
      </c>
      <c r="F1014">
        <v>1</v>
      </c>
      <c r="G1014" s="32">
        <v>1</v>
      </c>
      <c r="H1014">
        <v>1</v>
      </c>
      <c r="J1014" t="s">
        <v>47</v>
      </c>
      <c r="K1014" t="s">
        <v>33</v>
      </c>
      <c r="L1014" t="s">
        <v>28</v>
      </c>
    </row>
    <row r="1015" spans="2:12">
      <c r="B1015" t="s">
        <v>1</v>
      </c>
      <c r="C1015" s="4" t="s">
        <v>88</v>
      </c>
      <c r="D1015" t="s">
        <v>89</v>
      </c>
      <c r="E1015">
        <v>80</v>
      </c>
      <c r="F1015">
        <v>2</v>
      </c>
      <c r="G1015" s="32">
        <v>2</v>
      </c>
      <c r="H1015">
        <v>1</v>
      </c>
      <c r="J1015" t="s">
        <v>19</v>
      </c>
      <c r="K1015" t="s">
        <v>20</v>
      </c>
      <c r="L1015" t="s">
        <v>26</v>
      </c>
    </row>
    <row r="1016" spans="2:12">
      <c r="D1016" t="s">
        <v>89</v>
      </c>
      <c r="E1016">
        <v>90</v>
      </c>
      <c r="F1016">
        <v>1</v>
      </c>
      <c r="H1016">
        <v>1</v>
      </c>
      <c r="J1016" t="s">
        <v>19</v>
      </c>
      <c r="K1016" t="s">
        <v>20</v>
      </c>
      <c r="L1016" t="s">
        <v>26</v>
      </c>
    </row>
    <row r="1017" spans="2:12">
      <c r="D1017" t="s">
        <v>89</v>
      </c>
      <c r="E1017">
        <v>90</v>
      </c>
      <c r="F1017">
        <v>2</v>
      </c>
      <c r="H1017">
        <v>1</v>
      </c>
      <c r="J1017" t="s">
        <v>57</v>
      </c>
      <c r="K1017" t="s">
        <v>34</v>
      </c>
      <c r="L1017" t="s">
        <v>28</v>
      </c>
    </row>
    <row r="1018" spans="2:12">
      <c r="D1018" t="s">
        <v>89</v>
      </c>
      <c r="E1018">
        <v>100</v>
      </c>
      <c r="F1018">
        <v>1</v>
      </c>
      <c r="H1018">
        <v>1</v>
      </c>
      <c r="J1018" t="s">
        <v>57</v>
      </c>
      <c r="K1018" t="s">
        <v>34</v>
      </c>
      <c r="L1018" t="s">
        <v>28</v>
      </c>
    </row>
    <row r="1019" spans="2:12">
      <c r="D1019" t="s">
        <v>89</v>
      </c>
      <c r="E1019">
        <v>110</v>
      </c>
      <c r="F1019">
        <v>1</v>
      </c>
      <c r="H1019">
        <v>1</v>
      </c>
      <c r="J1019" t="s">
        <v>57</v>
      </c>
      <c r="K1019" t="s">
        <v>34</v>
      </c>
      <c r="L1019" t="s">
        <v>28</v>
      </c>
    </row>
    <row r="1020" spans="2:12">
      <c r="D1020" t="s">
        <v>89</v>
      </c>
      <c r="E1020">
        <v>120</v>
      </c>
      <c r="F1020">
        <v>1</v>
      </c>
      <c r="H1020">
        <v>1</v>
      </c>
      <c r="J1020" t="s">
        <v>57</v>
      </c>
      <c r="K1020" t="s">
        <v>34</v>
      </c>
      <c r="L1020" t="s">
        <v>28</v>
      </c>
    </row>
    <row r="1021" spans="2:12">
      <c r="D1021" t="s">
        <v>89</v>
      </c>
      <c r="E1021">
        <v>130</v>
      </c>
      <c r="I1021" t="s">
        <v>56</v>
      </c>
    </row>
    <row r="1022" spans="2:12">
      <c r="D1022" t="s">
        <v>89</v>
      </c>
      <c r="E1022">
        <v>140</v>
      </c>
      <c r="I1022" t="s">
        <v>56</v>
      </c>
    </row>
    <row r="1023" spans="2:12">
      <c r="D1023" t="s">
        <v>89</v>
      </c>
      <c r="E1023">
        <v>150</v>
      </c>
      <c r="F1023">
        <v>1</v>
      </c>
      <c r="H1023">
        <v>2</v>
      </c>
      <c r="J1023" t="s">
        <v>53</v>
      </c>
      <c r="K1023" t="s">
        <v>34</v>
      </c>
      <c r="L1023" t="s">
        <v>28</v>
      </c>
    </row>
    <row r="1024" spans="2:12">
      <c r="D1024" t="s">
        <v>89</v>
      </c>
      <c r="E1024">
        <v>160</v>
      </c>
      <c r="F1024">
        <v>1</v>
      </c>
      <c r="H1024">
        <v>0</v>
      </c>
      <c r="J1024" t="s">
        <v>53</v>
      </c>
      <c r="L1024" t="s">
        <v>28</v>
      </c>
    </row>
    <row r="1025" spans="2:12">
      <c r="D1025" t="s">
        <v>89</v>
      </c>
      <c r="E1025">
        <v>170</v>
      </c>
      <c r="F1025">
        <v>1</v>
      </c>
      <c r="H1025">
        <v>1</v>
      </c>
      <c r="J1025" t="s">
        <v>53</v>
      </c>
      <c r="K1025" t="s">
        <v>34</v>
      </c>
      <c r="L1025" t="s">
        <v>28</v>
      </c>
    </row>
    <row r="1026" spans="2:12">
      <c r="D1026" t="s">
        <v>89</v>
      </c>
      <c r="E1026">
        <v>180</v>
      </c>
      <c r="F1026">
        <v>1</v>
      </c>
      <c r="H1026">
        <v>1</v>
      </c>
      <c r="J1026" t="s">
        <v>53</v>
      </c>
      <c r="K1026" t="s">
        <v>31</v>
      </c>
      <c r="L1026" t="s">
        <v>28</v>
      </c>
    </row>
    <row r="1027" spans="2:12">
      <c r="B1027" t="s">
        <v>1</v>
      </c>
      <c r="C1027" s="4" t="s">
        <v>88</v>
      </c>
      <c r="D1027" t="s">
        <v>89</v>
      </c>
      <c r="E1027">
        <v>190</v>
      </c>
      <c r="F1027">
        <v>1</v>
      </c>
      <c r="G1027" s="32">
        <v>1</v>
      </c>
      <c r="H1027">
        <v>1</v>
      </c>
      <c r="J1027" t="s">
        <v>19</v>
      </c>
      <c r="K1027" t="s">
        <v>20</v>
      </c>
      <c r="L1027" t="s">
        <v>26</v>
      </c>
    </row>
    <row r="1028" spans="2:12">
      <c r="B1028" t="s">
        <v>1</v>
      </c>
      <c r="C1028" s="4" t="s">
        <v>88</v>
      </c>
      <c r="D1028" t="s">
        <v>89</v>
      </c>
      <c r="E1028">
        <v>190</v>
      </c>
      <c r="F1028">
        <v>2</v>
      </c>
      <c r="G1028" s="32">
        <v>0</v>
      </c>
      <c r="H1028">
        <v>0</v>
      </c>
      <c r="J1028" t="s">
        <v>52</v>
      </c>
      <c r="L1028" t="s">
        <v>28</v>
      </c>
    </row>
    <row r="1029" spans="2:12">
      <c r="B1029" t="s">
        <v>1</v>
      </c>
      <c r="C1029" s="4" t="s">
        <v>88</v>
      </c>
      <c r="D1029" t="s">
        <v>89</v>
      </c>
      <c r="E1029">
        <v>200</v>
      </c>
      <c r="F1029">
        <v>1</v>
      </c>
      <c r="G1029" s="32">
        <v>1</v>
      </c>
      <c r="H1029">
        <v>1</v>
      </c>
      <c r="J1029" t="s">
        <v>19</v>
      </c>
      <c r="K1029" t="s">
        <v>20</v>
      </c>
      <c r="L1029" t="s">
        <v>26</v>
      </c>
    </row>
    <row r="1030" spans="2:12">
      <c r="B1030" t="s">
        <v>1</v>
      </c>
      <c r="C1030" s="4" t="s">
        <v>88</v>
      </c>
      <c r="D1030" t="s">
        <v>89</v>
      </c>
      <c r="E1030">
        <v>200</v>
      </c>
      <c r="F1030">
        <v>2</v>
      </c>
      <c r="G1030" s="32">
        <v>2</v>
      </c>
      <c r="H1030">
        <v>1</v>
      </c>
      <c r="J1030" t="s">
        <v>52</v>
      </c>
      <c r="K1030" t="s">
        <v>33</v>
      </c>
      <c r="L1030" t="s">
        <v>28</v>
      </c>
    </row>
    <row r="1031" spans="2:12">
      <c r="D1031" t="s">
        <v>89</v>
      </c>
      <c r="E1031">
        <v>210</v>
      </c>
      <c r="F1031">
        <v>1</v>
      </c>
      <c r="H1031">
        <v>0</v>
      </c>
      <c r="J1031" t="s">
        <v>19</v>
      </c>
      <c r="L1031" t="s">
        <v>26</v>
      </c>
    </row>
    <row r="1032" spans="2:12">
      <c r="D1032" t="s">
        <v>89</v>
      </c>
      <c r="E1032">
        <v>210</v>
      </c>
      <c r="F1032">
        <v>2</v>
      </c>
      <c r="H1032">
        <v>0</v>
      </c>
      <c r="J1032" t="s">
        <v>53</v>
      </c>
      <c r="L1032" t="s">
        <v>28</v>
      </c>
    </row>
    <row r="1033" spans="2:12">
      <c r="D1033" t="s">
        <v>89</v>
      </c>
      <c r="E1033">
        <v>220</v>
      </c>
      <c r="F1033">
        <v>1</v>
      </c>
      <c r="H1033">
        <v>1</v>
      </c>
      <c r="J1033" t="s">
        <v>19</v>
      </c>
      <c r="K1033" t="s">
        <v>20</v>
      </c>
      <c r="L1033" t="s">
        <v>26</v>
      </c>
    </row>
    <row r="1034" spans="2:12">
      <c r="D1034" t="s">
        <v>89</v>
      </c>
      <c r="E1034">
        <v>220</v>
      </c>
      <c r="F1034">
        <v>2</v>
      </c>
      <c r="H1034">
        <v>1</v>
      </c>
      <c r="J1034" t="s">
        <v>53</v>
      </c>
      <c r="K1034" t="s">
        <v>31</v>
      </c>
      <c r="L1034" t="s">
        <v>28</v>
      </c>
    </row>
    <row r="1035" spans="2:12">
      <c r="D1035" t="s">
        <v>89</v>
      </c>
      <c r="E1035">
        <v>230</v>
      </c>
      <c r="F1035">
        <v>1</v>
      </c>
      <c r="H1035">
        <v>1</v>
      </c>
      <c r="J1035" t="s">
        <v>19</v>
      </c>
      <c r="K1035" t="s">
        <v>20</v>
      </c>
      <c r="L1035" t="s">
        <v>26</v>
      </c>
    </row>
    <row r="1036" spans="2:12">
      <c r="D1036" t="s">
        <v>89</v>
      </c>
      <c r="E1036">
        <v>230</v>
      </c>
      <c r="F1036">
        <v>2</v>
      </c>
      <c r="H1036">
        <v>1</v>
      </c>
      <c r="J1036" t="s">
        <v>53</v>
      </c>
      <c r="K1036" t="s">
        <v>31</v>
      </c>
      <c r="L1036" t="s">
        <v>28</v>
      </c>
    </row>
    <row r="1037" spans="2:12">
      <c r="B1037" t="s">
        <v>1</v>
      </c>
      <c r="C1037" s="4" t="s">
        <v>88</v>
      </c>
      <c r="D1037" t="s">
        <v>89</v>
      </c>
      <c r="E1037">
        <v>240</v>
      </c>
      <c r="F1037">
        <v>1</v>
      </c>
      <c r="G1037" s="32">
        <v>3</v>
      </c>
      <c r="H1037">
        <v>0</v>
      </c>
      <c r="J1037" s="12" t="s">
        <v>46</v>
      </c>
    </row>
    <row r="1038" spans="2:12">
      <c r="B1038" t="s">
        <v>1</v>
      </c>
      <c r="C1038" s="4" t="s">
        <v>88</v>
      </c>
      <c r="D1038" t="s">
        <v>89</v>
      </c>
      <c r="E1038">
        <v>240</v>
      </c>
      <c r="F1038">
        <v>2</v>
      </c>
      <c r="G1038" s="32">
        <v>0</v>
      </c>
      <c r="H1038">
        <v>0</v>
      </c>
      <c r="J1038" t="s">
        <v>19</v>
      </c>
      <c r="L1038" t="s">
        <v>26</v>
      </c>
    </row>
    <row r="1039" spans="2:12">
      <c r="D1039" t="s">
        <v>89</v>
      </c>
      <c r="E1039">
        <v>250</v>
      </c>
      <c r="F1039">
        <v>1</v>
      </c>
      <c r="H1039">
        <v>1</v>
      </c>
      <c r="J1039" t="s">
        <v>19</v>
      </c>
      <c r="K1039" t="s">
        <v>20</v>
      </c>
      <c r="L1039" t="s">
        <v>26</v>
      </c>
    </row>
    <row r="1040" spans="2:12">
      <c r="D1040" t="s">
        <v>89</v>
      </c>
      <c r="E1040">
        <v>250</v>
      </c>
      <c r="F1040">
        <v>2</v>
      </c>
      <c r="H1040">
        <v>1</v>
      </c>
      <c r="J1040" t="s">
        <v>53</v>
      </c>
      <c r="K1040" t="s">
        <v>34</v>
      </c>
      <c r="L1040" t="s">
        <v>28</v>
      </c>
    </row>
    <row r="1041" spans="2:12">
      <c r="D1041" t="s">
        <v>89</v>
      </c>
      <c r="E1041">
        <v>260</v>
      </c>
      <c r="F1041">
        <v>1</v>
      </c>
      <c r="H1041">
        <v>1</v>
      </c>
      <c r="J1041" t="s">
        <v>19</v>
      </c>
      <c r="K1041" t="s">
        <v>20</v>
      </c>
      <c r="L1041" t="s">
        <v>26</v>
      </c>
    </row>
    <row r="1042" spans="2:12">
      <c r="D1042" t="s">
        <v>89</v>
      </c>
      <c r="E1042">
        <v>260</v>
      </c>
      <c r="F1042">
        <v>2</v>
      </c>
      <c r="H1042">
        <v>1</v>
      </c>
      <c r="J1042" t="s">
        <v>53</v>
      </c>
      <c r="K1042" t="s">
        <v>34</v>
      </c>
      <c r="L1042" t="s">
        <v>28</v>
      </c>
    </row>
    <row r="1043" spans="2:12">
      <c r="D1043" t="s">
        <v>89</v>
      </c>
      <c r="E1043">
        <v>270</v>
      </c>
      <c r="F1043">
        <v>1</v>
      </c>
      <c r="H1043">
        <v>0</v>
      </c>
      <c r="J1043" t="s">
        <v>53</v>
      </c>
      <c r="L1043" t="s">
        <v>28</v>
      </c>
    </row>
    <row r="1044" spans="2:12">
      <c r="D1044" t="s">
        <v>89</v>
      </c>
      <c r="E1044">
        <v>280</v>
      </c>
      <c r="F1044">
        <v>1</v>
      </c>
      <c r="H1044">
        <v>1</v>
      </c>
      <c r="J1044" t="s">
        <v>19</v>
      </c>
      <c r="K1044" t="s">
        <v>20</v>
      </c>
      <c r="L1044" t="s">
        <v>26</v>
      </c>
    </row>
    <row r="1045" spans="2:12">
      <c r="D1045" t="s">
        <v>89</v>
      </c>
      <c r="E1045">
        <v>280</v>
      </c>
      <c r="F1045">
        <v>2</v>
      </c>
      <c r="H1045">
        <v>1</v>
      </c>
      <c r="J1045" t="s">
        <v>53</v>
      </c>
      <c r="K1045" t="s">
        <v>34</v>
      </c>
      <c r="L1045" t="s">
        <v>28</v>
      </c>
    </row>
    <row r="1046" spans="2:12">
      <c r="D1046" t="s">
        <v>89</v>
      </c>
      <c r="E1046">
        <v>290</v>
      </c>
      <c r="F1046">
        <v>1</v>
      </c>
      <c r="H1046">
        <v>1</v>
      </c>
      <c r="J1046" t="s">
        <v>19</v>
      </c>
      <c r="K1046" t="s">
        <v>20</v>
      </c>
      <c r="L1046" t="s">
        <v>26</v>
      </c>
    </row>
    <row r="1047" spans="2:12">
      <c r="D1047" t="s">
        <v>89</v>
      </c>
      <c r="E1047">
        <v>290</v>
      </c>
      <c r="F1047">
        <v>2</v>
      </c>
      <c r="H1047">
        <v>1</v>
      </c>
      <c r="J1047" t="s">
        <v>53</v>
      </c>
      <c r="K1047" t="s">
        <v>31</v>
      </c>
      <c r="L1047" t="s">
        <v>28</v>
      </c>
    </row>
    <row r="1048" spans="2:12">
      <c r="D1048" t="s">
        <v>89</v>
      </c>
      <c r="E1048">
        <v>300</v>
      </c>
      <c r="F1048">
        <v>1</v>
      </c>
      <c r="H1048">
        <v>1</v>
      </c>
      <c r="J1048" t="s">
        <v>19</v>
      </c>
      <c r="K1048" t="s">
        <v>20</v>
      </c>
      <c r="L1048" t="s">
        <v>26</v>
      </c>
    </row>
    <row r="1049" spans="2:12">
      <c r="D1049" t="s">
        <v>89</v>
      </c>
      <c r="E1049">
        <v>300</v>
      </c>
      <c r="F1049">
        <v>2</v>
      </c>
      <c r="H1049">
        <v>2</v>
      </c>
      <c r="J1049" t="s">
        <v>53</v>
      </c>
      <c r="K1049" t="s">
        <v>34</v>
      </c>
      <c r="L1049" t="s">
        <v>28</v>
      </c>
    </row>
    <row r="1050" spans="2:12">
      <c r="D1050" t="s">
        <v>89</v>
      </c>
      <c r="E1050">
        <v>310</v>
      </c>
      <c r="F1050">
        <v>1</v>
      </c>
      <c r="H1050">
        <v>1</v>
      </c>
      <c r="J1050" t="s">
        <v>19</v>
      </c>
      <c r="K1050" t="s">
        <v>20</v>
      </c>
      <c r="L1050" t="s">
        <v>26</v>
      </c>
    </row>
    <row r="1051" spans="2:12">
      <c r="D1051" t="s">
        <v>89</v>
      </c>
      <c r="E1051">
        <v>310</v>
      </c>
      <c r="F1051">
        <v>2</v>
      </c>
      <c r="H1051">
        <v>2</v>
      </c>
      <c r="J1051" t="s">
        <v>53</v>
      </c>
      <c r="K1051" t="s">
        <v>34</v>
      </c>
      <c r="L1051" t="s">
        <v>28</v>
      </c>
    </row>
    <row r="1052" spans="2:12">
      <c r="D1052" t="s">
        <v>89</v>
      </c>
      <c r="E1052">
        <v>320</v>
      </c>
      <c r="F1052">
        <v>1</v>
      </c>
      <c r="H1052">
        <v>1</v>
      </c>
      <c r="J1052" t="s">
        <v>19</v>
      </c>
      <c r="K1052" t="s">
        <v>20</v>
      </c>
      <c r="L1052" t="s">
        <v>26</v>
      </c>
    </row>
    <row r="1053" spans="2:12">
      <c r="D1053" t="s">
        <v>89</v>
      </c>
      <c r="E1053">
        <v>320</v>
      </c>
      <c r="F1053">
        <v>2</v>
      </c>
      <c r="H1053">
        <v>2</v>
      </c>
      <c r="J1053" t="s">
        <v>53</v>
      </c>
      <c r="K1053" t="s">
        <v>34</v>
      </c>
      <c r="L1053" t="s">
        <v>28</v>
      </c>
    </row>
    <row r="1054" spans="2:12">
      <c r="D1054" t="s">
        <v>89</v>
      </c>
      <c r="E1054">
        <v>330</v>
      </c>
      <c r="F1054">
        <v>1</v>
      </c>
      <c r="H1054">
        <v>1</v>
      </c>
      <c r="J1054" t="s">
        <v>19</v>
      </c>
      <c r="K1054" t="s">
        <v>20</v>
      </c>
      <c r="L1054" t="s">
        <v>26</v>
      </c>
    </row>
    <row r="1055" spans="2:12">
      <c r="D1055" t="s">
        <v>89</v>
      </c>
      <c r="E1055">
        <v>330</v>
      </c>
      <c r="F1055">
        <v>2</v>
      </c>
      <c r="H1055">
        <v>1</v>
      </c>
      <c r="J1055" t="s">
        <v>53</v>
      </c>
      <c r="K1055" t="s">
        <v>31</v>
      </c>
      <c r="L1055" t="s">
        <v>28</v>
      </c>
    </row>
    <row r="1056" spans="2:12">
      <c r="B1056" t="s">
        <v>1</v>
      </c>
      <c r="C1056" s="5" t="s">
        <v>90</v>
      </c>
      <c r="D1056" s="1" t="s">
        <v>91</v>
      </c>
      <c r="E1056">
        <v>0</v>
      </c>
      <c r="F1056">
        <v>1</v>
      </c>
      <c r="G1056" s="32" t="s">
        <v>50</v>
      </c>
      <c r="I1056" t="s">
        <v>51</v>
      </c>
    </row>
    <row r="1057" spans="2:12">
      <c r="D1057" s="34" t="s">
        <v>91</v>
      </c>
      <c r="E1057">
        <v>10</v>
      </c>
      <c r="I1057" t="s">
        <v>56</v>
      </c>
    </row>
    <row r="1058" spans="2:12">
      <c r="D1058" s="34" t="s">
        <v>91</v>
      </c>
      <c r="E1058">
        <v>20</v>
      </c>
      <c r="F1058">
        <v>1</v>
      </c>
      <c r="H1058">
        <v>1</v>
      </c>
      <c r="J1058" t="s">
        <v>19</v>
      </c>
      <c r="K1058" t="s">
        <v>20</v>
      </c>
      <c r="L1058" t="s">
        <v>26</v>
      </c>
    </row>
    <row r="1059" spans="2:12">
      <c r="D1059" s="34" t="s">
        <v>91</v>
      </c>
      <c r="E1059">
        <v>20</v>
      </c>
      <c r="F1059">
        <v>2</v>
      </c>
      <c r="H1059">
        <v>1</v>
      </c>
      <c r="J1059" t="s">
        <v>42</v>
      </c>
      <c r="K1059" t="s">
        <v>34</v>
      </c>
      <c r="L1059" t="s">
        <v>26</v>
      </c>
    </row>
    <row r="1060" spans="2:12">
      <c r="D1060" s="34" t="s">
        <v>91</v>
      </c>
      <c r="E1060">
        <v>30</v>
      </c>
      <c r="F1060">
        <v>1</v>
      </c>
      <c r="H1060">
        <v>1</v>
      </c>
      <c r="J1060" t="s">
        <v>19</v>
      </c>
      <c r="K1060" t="s">
        <v>20</v>
      </c>
      <c r="L1060" t="s">
        <v>26</v>
      </c>
    </row>
    <row r="1061" spans="2:12">
      <c r="B1061" t="s">
        <v>1</v>
      </c>
      <c r="C1061" s="5" t="s">
        <v>90</v>
      </c>
      <c r="D1061" s="1" t="s">
        <v>91</v>
      </c>
      <c r="E1061">
        <v>40</v>
      </c>
      <c r="F1061">
        <v>1</v>
      </c>
      <c r="G1061" s="32">
        <v>1</v>
      </c>
      <c r="H1061">
        <v>1</v>
      </c>
      <c r="J1061" t="s">
        <v>19</v>
      </c>
      <c r="K1061" t="s">
        <v>20</v>
      </c>
      <c r="L1061" t="s">
        <v>26</v>
      </c>
    </row>
    <row r="1062" spans="2:12">
      <c r="D1062" s="34" t="s">
        <v>91</v>
      </c>
      <c r="E1062">
        <v>50</v>
      </c>
      <c r="F1062">
        <v>1</v>
      </c>
      <c r="H1062">
        <v>1</v>
      </c>
      <c r="J1062" t="s">
        <v>19</v>
      </c>
      <c r="K1062" t="s">
        <v>20</v>
      </c>
      <c r="L1062" t="s">
        <v>26</v>
      </c>
    </row>
    <row r="1063" spans="2:12">
      <c r="D1063" s="34" t="s">
        <v>91</v>
      </c>
      <c r="E1063">
        <v>50</v>
      </c>
      <c r="F1063">
        <v>2</v>
      </c>
      <c r="H1063">
        <v>1</v>
      </c>
      <c r="J1063" t="s">
        <v>42</v>
      </c>
      <c r="K1063" t="s">
        <v>20</v>
      </c>
      <c r="L1063" t="s">
        <v>26</v>
      </c>
    </row>
    <row r="1064" spans="2:12">
      <c r="D1064" s="34" t="s">
        <v>91</v>
      </c>
      <c r="E1064">
        <v>60</v>
      </c>
      <c r="F1064">
        <v>1</v>
      </c>
      <c r="H1064">
        <v>1</v>
      </c>
      <c r="J1064" t="s">
        <v>19</v>
      </c>
      <c r="K1064" t="s">
        <v>20</v>
      </c>
      <c r="L1064" t="s">
        <v>26</v>
      </c>
    </row>
    <row r="1065" spans="2:12">
      <c r="D1065" s="34" t="s">
        <v>91</v>
      </c>
      <c r="E1065">
        <v>70</v>
      </c>
      <c r="I1065" t="s">
        <v>56</v>
      </c>
    </row>
    <row r="1066" spans="2:12">
      <c r="B1066" t="s">
        <v>1</v>
      </c>
      <c r="C1066" s="5" t="s">
        <v>90</v>
      </c>
      <c r="D1066" s="1" t="s">
        <v>91</v>
      </c>
      <c r="E1066">
        <v>80</v>
      </c>
      <c r="F1066">
        <v>1</v>
      </c>
      <c r="G1066" s="32">
        <v>1</v>
      </c>
      <c r="H1066">
        <v>1</v>
      </c>
      <c r="J1066" t="s">
        <v>19</v>
      </c>
      <c r="K1066" t="s">
        <v>20</v>
      </c>
      <c r="L1066" t="s">
        <v>26</v>
      </c>
    </row>
    <row r="1067" spans="2:12">
      <c r="D1067" s="34" t="s">
        <v>91</v>
      </c>
      <c r="E1067">
        <v>90</v>
      </c>
      <c r="F1067">
        <v>0</v>
      </c>
    </row>
    <row r="1068" spans="2:12">
      <c r="D1068" s="34" t="s">
        <v>91</v>
      </c>
      <c r="E1068">
        <v>100</v>
      </c>
      <c r="F1068">
        <v>1</v>
      </c>
      <c r="H1068">
        <v>0</v>
      </c>
      <c r="J1068" t="s">
        <v>19</v>
      </c>
      <c r="L1068" t="s">
        <v>26</v>
      </c>
    </row>
    <row r="1069" spans="2:12">
      <c r="B1069" t="s">
        <v>1</v>
      </c>
      <c r="C1069" s="5" t="s">
        <v>90</v>
      </c>
      <c r="D1069" s="1" t="s">
        <v>91</v>
      </c>
      <c r="E1069">
        <v>110</v>
      </c>
      <c r="F1069">
        <v>1</v>
      </c>
      <c r="G1069" s="32">
        <v>1</v>
      </c>
      <c r="H1069">
        <v>1</v>
      </c>
      <c r="J1069" t="s">
        <v>19</v>
      </c>
      <c r="K1069" t="s">
        <v>20</v>
      </c>
      <c r="L1069" t="s">
        <v>26</v>
      </c>
    </row>
    <row r="1070" spans="2:12">
      <c r="B1070" t="s">
        <v>1</v>
      </c>
      <c r="C1070" s="5" t="s">
        <v>90</v>
      </c>
      <c r="D1070" s="1" t="s">
        <v>91</v>
      </c>
      <c r="E1070">
        <v>110</v>
      </c>
      <c r="F1070">
        <v>2</v>
      </c>
      <c r="G1070" s="32">
        <v>2</v>
      </c>
      <c r="H1070">
        <v>1</v>
      </c>
      <c r="J1070" t="s">
        <v>42</v>
      </c>
      <c r="K1070" t="s">
        <v>20</v>
      </c>
      <c r="L1070" t="s">
        <v>26</v>
      </c>
    </row>
    <row r="1071" spans="2:12">
      <c r="D1071" s="34" t="s">
        <v>91</v>
      </c>
      <c r="E1071">
        <v>120</v>
      </c>
      <c r="F1071">
        <v>0</v>
      </c>
    </row>
    <row r="1072" spans="2:12">
      <c r="D1072" s="34" t="s">
        <v>91</v>
      </c>
      <c r="E1072">
        <v>130</v>
      </c>
      <c r="F1072">
        <v>1</v>
      </c>
      <c r="H1072">
        <v>1</v>
      </c>
      <c r="J1072" t="s">
        <v>19</v>
      </c>
      <c r="K1072" t="s">
        <v>20</v>
      </c>
      <c r="L1072" t="s">
        <v>26</v>
      </c>
    </row>
    <row r="1073" spans="2:12">
      <c r="D1073" s="34" t="s">
        <v>91</v>
      </c>
      <c r="E1073">
        <v>140</v>
      </c>
      <c r="F1073">
        <v>1</v>
      </c>
      <c r="H1073">
        <v>1</v>
      </c>
      <c r="J1073" t="s">
        <v>19</v>
      </c>
      <c r="K1073" t="s">
        <v>20</v>
      </c>
      <c r="L1073" t="s">
        <v>26</v>
      </c>
    </row>
    <row r="1074" spans="2:12">
      <c r="D1074" s="34" t="s">
        <v>91</v>
      </c>
      <c r="E1074">
        <v>140</v>
      </c>
      <c r="F1074">
        <v>2</v>
      </c>
      <c r="H1074">
        <v>1</v>
      </c>
      <c r="J1074" t="s">
        <v>53</v>
      </c>
      <c r="K1074" t="s">
        <v>31</v>
      </c>
      <c r="L1074" t="s">
        <v>28</v>
      </c>
    </row>
    <row r="1075" spans="2:12">
      <c r="B1075" t="s">
        <v>1</v>
      </c>
      <c r="C1075" s="5" t="s">
        <v>90</v>
      </c>
      <c r="D1075" s="1" t="s">
        <v>91</v>
      </c>
      <c r="E1075">
        <v>150</v>
      </c>
      <c r="F1075">
        <v>1</v>
      </c>
      <c r="G1075" s="32">
        <v>1</v>
      </c>
      <c r="H1075">
        <v>1</v>
      </c>
      <c r="J1075" t="s">
        <v>52</v>
      </c>
      <c r="K1075" t="s">
        <v>37</v>
      </c>
      <c r="L1075" t="s">
        <v>28</v>
      </c>
    </row>
    <row r="1076" spans="2:12">
      <c r="B1076" t="s">
        <v>1</v>
      </c>
      <c r="C1076" s="5" t="s">
        <v>90</v>
      </c>
      <c r="D1076" s="1" t="s">
        <v>91</v>
      </c>
      <c r="E1076">
        <v>150</v>
      </c>
      <c r="F1076">
        <v>2</v>
      </c>
      <c r="G1076" s="32">
        <v>2</v>
      </c>
      <c r="H1076">
        <v>1</v>
      </c>
      <c r="J1076" t="s">
        <v>19</v>
      </c>
      <c r="K1076" t="s">
        <v>20</v>
      </c>
      <c r="L1076" t="s">
        <v>26</v>
      </c>
    </row>
    <row r="1077" spans="2:12">
      <c r="D1077" s="34" t="s">
        <v>91</v>
      </c>
      <c r="E1077">
        <v>160</v>
      </c>
      <c r="F1077">
        <v>1</v>
      </c>
      <c r="H1077">
        <v>1</v>
      </c>
      <c r="J1077" t="s">
        <v>19</v>
      </c>
      <c r="K1077" t="s">
        <v>20</v>
      </c>
      <c r="L1077" t="s">
        <v>26</v>
      </c>
    </row>
    <row r="1078" spans="2:12">
      <c r="D1078" s="34" t="s">
        <v>91</v>
      </c>
      <c r="E1078">
        <v>160</v>
      </c>
      <c r="F1078">
        <v>2</v>
      </c>
      <c r="H1078">
        <v>1</v>
      </c>
      <c r="J1078" t="s">
        <v>53</v>
      </c>
      <c r="K1078" t="s">
        <v>31</v>
      </c>
      <c r="L1078" t="s">
        <v>28</v>
      </c>
    </row>
    <row r="1079" spans="2:12">
      <c r="B1079" t="s">
        <v>1</v>
      </c>
      <c r="C1079" s="5" t="s">
        <v>90</v>
      </c>
      <c r="D1079" s="1" t="s">
        <v>91</v>
      </c>
      <c r="E1079">
        <v>170</v>
      </c>
      <c r="F1079">
        <v>1</v>
      </c>
      <c r="G1079" s="32">
        <v>1</v>
      </c>
      <c r="H1079">
        <v>1</v>
      </c>
      <c r="J1079" t="s">
        <v>19</v>
      </c>
      <c r="K1079" t="s">
        <v>20</v>
      </c>
      <c r="L1079" t="s">
        <v>26</v>
      </c>
    </row>
    <row r="1080" spans="2:12">
      <c r="B1080" t="s">
        <v>1</v>
      </c>
      <c r="C1080" s="5" t="s">
        <v>90</v>
      </c>
      <c r="D1080" s="1" t="s">
        <v>91</v>
      </c>
      <c r="E1080">
        <v>170</v>
      </c>
      <c r="F1080">
        <v>2</v>
      </c>
      <c r="G1080" s="32">
        <v>0</v>
      </c>
      <c r="H1080">
        <v>0</v>
      </c>
      <c r="J1080" t="s">
        <v>52</v>
      </c>
      <c r="L1080" t="s">
        <v>28</v>
      </c>
    </row>
    <row r="1081" spans="2:12">
      <c r="B1081" t="s">
        <v>1</v>
      </c>
      <c r="C1081" s="5" t="s">
        <v>90</v>
      </c>
      <c r="D1081" s="1" t="s">
        <v>91</v>
      </c>
      <c r="E1081">
        <v>180</v>
      </c>
      <c r="F1081">
        <v>1</v>
      </c>
      <c r="G1081" s="32">
        <v>1</v>
      </c>
      <c r="H1081">
        <v>1</v>
      </c>
      <c r="J1081" t="s">
        <v>19</v>
      </c>
      <c r="K1081" t="s">
        <v>20</v>
      </c>
      <c r="L1081" t="s">
        <v>26</v>
      </c>
    </row>
    <row r="1082" spans="2:12">
      <c r="B1082" t="s">
        <v>1</v>
      </c>
      <c r="C1082" s="5" t="s">
        <v>90</v>
      </c>
      <c r="D1082" s="1" t="s">
        <v>91</v>
      </c>
      <c r="E1082">
        <v>180</v>
      </c>
      <c r="F1082">
        <v>2</v>
      </c>
      <c r="G1082" s="32">
        <v>1</v>
      </c>
      <c r="H1082">
        <v>1</v>
      </c>
      <c r="J1082" t="s">
        <v>52</v>
      </c>
      <c r="K1082" t="s">
        <v>37</v>
      </c>
      <c r="L1082" t="s">
        <v>28</v>
      </c>
    </row>
    <row r="1083" spans="2:12">
      <c r="B1083" t="s">
        <v>1</v>
      </c>
      <c r="C1083" s="5" t="s">
        <v>90</v>
      </c>
      <c r="D1083" s="1" t="s">
        <v>91</v>
      </c>
      <c r="E1083">
        <v>190</v>
      </c>
      <c r="F1083">
        <v>1</v>
      </c>
      <c r="G1083" s="32">
        <v>1</v>
      </c>
      <c r="H1083">
        <v>1</v>
      </c>
      <c r="J1083" t="s">
        <v>52</v>
      </c>
      <c r="K1083" t="s">
        <v>37</v>
      </c>
      <c r="L1083" t="s">
        <v>28</v>
      </c>
    </row>
    <row r="1084" spans="2:12">
      <c r="B1084" t="s">
        <v>1</v>
      </c>
      <c r="C1084" s="5" t="s">
        <v>90</v>
      </c>
      <c r="D1084" s="1" t="s">
        <v>91</v>
      </c>
      <c r="E1084">
        <v>190</v>
      </c>
      <c r="F1084">
        <v>2</v>
      </c>
      <c r="G1084" s="32">
        <v>2</v>
      </c>
      <c r="H1084">
        <v>1</v>
      </c>
      <c r="J1084" t="s">
        <v>19</v>
      </c>
      <c r="K1084" t="s">
        <v>20</v>
      </c>
      <c r="L1084" t="s">
        <v>26</v>
      </c>
    </row>
    <row r="1085" spans="2:12">
      <c r="D1085" s="34" t="s">
        <v>91</v>
      </c>
      <c r="E1085">
        <v>200</v>
      </c>
      <c r="F1085">
        <v>1</v>
      </c>
      <c r="H1085">
        <v>1</v>
      </c>
      <c r="J1085" t="s">
        <v>53</v>
      </c>
      <c r="K1085" t="s">
        <v>31</v>
      </c>
      <c r="L1085" t="s">
        <v>28</v>
      </c>
    </row>
    <row r="1086" spans="2:12">
      <c r="B1086" t="s">
        <v>1</v>
      </c>
      <c r="C1086" s="5" t="s">
        <v>90</v>
      </c>
      <c r="D1086" s="1" t="s">
        <v>91</v>
      </c>
      <c r="E1086">
        <v>210</v>
      </c>
      <c r="F1086">
        <v>1</v>
      </c>
      <c r="G1086" s="32">
        <v>1</v>
      </c>
      <c r="H1086">
        <v>1</v>
      </c>
      <c r="J1086" t="s">
        <v>52</v>
      </c>
      <c r="K1086" t="s">
        <v>33</v>
      </c>
      <c r="L1086" t="s">
        <v>28</v>
      </c>
    </row>
    <row r="1087" spans="2:12">
      <c r="B1087" t="s">
        <v>1</v>
      </c>
      <c r="C1087" s="5" t="s">
        <v>90</v>
      </c>
      <c r="D1087" s="1" t="s">
        <v>91</v>
      </c>
      <c r="E1087">
        <v>210</v>
      </c>
      <c r="F1087">
        <v>2</v>
      </c>
      <c r="G1087" s="32">
        <v>1</v>
      </c>
      <c r="H1087">
        <v>1</v>
      </c>
      <c r="J1087" t="s">
        <v>19</v>
      </c>
      <c r="K1087" t="s">
        <v>20</v>
      </c>
      <c r="L1087" t="s">
        <v>26</v>
      </c>
    </row>
    <row r="1088" spans="2:12">
      <c r="B1088" t="s">
        <v>1</v>
      </c>
      <c r="C1088" s="5" t="s">
        <v>90</v>
      </c>
      <c r="D1088" s="1" t="s">
        <v>91</v>
      </c>
      <c r="E1088">
        <v>220</v>
      </c>
      <c r="F1088">
        <v>1</v>
      </c>
      <c r="G1088" s="32">
        <v>1</v>
      </c>
      <c r="H1088">
        <v>1</v>
      </c>
      <c r="J1088" t="s">
        <v>52</v>
      </c>
      <c r="K1088" t="s">
        <v>33</v>
      </c>
      <c r="L1088" t="s">
        <v>28</v>
      </c>
    </row>
    <row r="1089" spans="2:12">
      <c r="B1089" t="s">
        <v>1</v>
      </c>
      <c r="C1089" s="5" t="s">
        <v>90</v>
      </c>
      <c r="D1089" s="1" t="s">
        <v>91</v>
      </c>
      <c r="E1089">
        <v>230</v>
      </c>
      <c r="F1089">
        <v>1</v>
      </c>
      <c r="G1089" s="32">
        <v>1</v>
      </c>
      <c r="H1089">
        <v>1</v>
      </c>
      <c r="J1089" t="s">
        <v>52</v>
      </c>
      <c r="K1089" t="s">
        <v>37</v>
      </c>
      <c r="L1089" t="s">
        <v>28</v>
      </c>
    </row>
    <row r="1090" spans="2:12">
      <c r="B1090" t="s">
        <v>1</v>
      </c>
      <c r="C1090" s="5" t="s">
        <v>90</v>
      </c>
      <c r="D1090" s="1" t="s">
        <v>91</v>
      </c>
      <c r="E1090">
        <v>230</v>
      </c>
      <c r="F1090">
        <v>2</v>
      </c>
      <c r="G1090" s="32">
        <v>2</v>
      </c>
      <c r="H1090">
        <v>1</v>
      </c>
      <c r="J1090" t="s">
        <v>19</v>
      </c>
      <c r="K1090" t="s">
        <v>20</v>
      </c>
      <c r="L1090" t="s">
        <v>26</v>
      </c>
    </row>
    <row r="1091" spans="2:12">
      <c r="B1091" t="s">
        <v>1</v>
      </c>
      <c r="C1091" s="5" t="s">
        <v>90</v>
      </c>
      <c r="D1091" s="1" t="s">
        <v>91</v>
      </c>
      <c r="E1091">
        <v>240</v>
      </c>
      <c r="F1091">
        <v>1</v>
      </c>
      <c r="G1091" s="32">
        <v>1</v>
      </c>
      <c r="H1091">
        <v>1</v>
      </c>
      <c r="J1091" t="s">
        <v>52</v>
      </c>
      <c r="K1091" t="s">
        <v>37</v>
      </c>
      <c r="L1091" t="s">
        <v>28</v>
      </c>
    </row>
    <row r="1092" spans="2:12">
      <c r="B1092" t="s">
        <v>1</v>
      </c>
      <c r="C1092" s="5" t="s">
        <v>90</v>
      </c>
      <c r="D1092" s="1" t="s">
        <v>91</v>
      </c>
      <c r="E1092">
        <v>240</v>
      </c>
      <c r="F1092">
        <v>2</v>
      </c>
      <c r="G1092" s="32">
        <v>2</v>
      </c>
      <c r="H1092">
        <v>1</v>
      </c>
      <c r="J1092" t="s">
        <v>19</v>
      </c>
      <c r="K1092" t="s">
        <v>20</v>
      </c>
      <c r="L1092" t="s">
        <v>26</v>
      </c>
    </row>
    <row r="1093" spans="2:12">
      <c r="B1093" t="s">
        <v>1</v>
      </c>
      <c r="C1093" s="5" t="s">
        <v>90</v>
      </c>
      <c r="D1093" s="1" t="s">
        <v>91</v>
      </c>
      <c r="E1093">
        <v>250</v>
      </c>
      <c r="F1093">
        <v>1</v>
      </c>
      <c r="G1093" s="32">
        <v>1</v>
      </c>
      <c r="H1093">
        <v>1</v>
      </c>
      <c r="J1093" t="s">
        <v>52</v>
      </c>
      <c r="K1093" t="s">
        <v>37</v>
      </c>
      <c r="L1093" t="s">
        <v>28</v>
      </c>
    </row>
    <row r="1094" spans="2:12">
      <c r="B1094" t="s">
        <v>1</v>
      </c>
      <c r="C1094" s="5" t="s">
        <v>90</v>
      </c>
      <c r="D1094" s="1" t="s">
        <v>91</v>
      </c>
      <c r="E1094">
        <v>250</v>
      </c>
      <c r="F1094">
        <v>2</v>
      </c>
      <c r="G1094" s="32">
        <v>2</v>
      </c>
      <c r="H1094">
        <v>1</v>
      </c>
      <c r="J1094" t="s">
        <v>19</v>
      </c>
      <c r="K1094" t="s">
        <v>20</v>
      </c>
      <c r="L1094" t="s">
        <v>26</v>
      </c>
    </row>
    <row r="1095" spans="2:12">
      <c r="B1095" t="s">
        <v>1</v>
      </c>
      <c r="C1095" s="5" t="s">
        <v>90</v>
      </c>
      <c r="D1095" s="1" t="s">
        <v>91</v>
      </c>
      <c r="E1095">
        <v>260</v>
      </c>
      <c r="F1095">
        <v>1</v>
      </c>
      <c r="G1095" s="32">
        <v>1</v>
      </c>
      <c r="H1095">
        <v>1</v>
      </c>
      <c r="J1095" t="s">
        <v>19</v>
      </c>
      <c r="K1095" t="s">
        <v>20</v>
      </c>
      <c r="L1095" t="s">
        <v>26</v>
      </c>
    </row>
    <row r="1096" spans="2:12">
      <c r="B1096" t="s">
        <v>1</v>
      </c>
      <c r="C1096" s="5" t="s">
        <v>90</v>
      </c>
      <c r="D1096" s="1" t="s">
        <v>91</v>
      </c>
      <c r="E1096">
        <v>260</v>
      </c>
      <c r="F1096">
        <v>2</v>
      </c>
      <c r="G1096" s="32">
        <v>1</v>
      </c>
      <c r="H1096">
        <v>1</v>
      </c>
      <c r="J1096" t="s">
        <v>42</v>
      </c>
      <c r="K1096" t="s">
        <v>20</v>
      </c>
      <c r="L1096" t="s">
        <v>26</v>
      </c>
    </row>
    <row r="1097" spans="2:12">
      <c r="B1097" t="s">
        <v>1</v>
      </c>
      <c r="C1097" s="5" t="s">
        <v>90</v>
      </c>
      <c r="D1097" s="1" t="s">
        <v>91</v>
      </c>
      <c r="E1097">
        <v>260</v>
      </c>
      <c r="F1097">
        <v>3</v>
      </c>
      <c r="G1097" s="32">
        <v>1</v>
      </c>
      <c r="H1097">
        <v>1</v>
      </c>
      <c r="J1097" t="s">
        <v>52</v>
      </c>
      <c r="K1097" t="s">
        <v>37</v>
      </c>
      <c r="L1097" t="s">
        <v>28</v>
      </c>
    </row>
    <row r="1098" spans="2:12">
      <c r="B1098" t="s">
        <v>1</v>
      </c>
      <c r="C1098" s="5" t="s">
        <v>90</v>
      </c>
      <c r="D1098" s="1" t="s">
        <v>91</v>
      </c>
      <c r="E1098">
        <v>270</v>
      </c>
      <c r="F1098">
        <v>1</v>
      </c>
      <c r="G1098" s="32">
        <v>1</v>
      </c>
      <c r="H1098">
        <v>1</v>
      </c>
      <c r="J1098" t="s">
        <v>19</v>
      </c>
      <c r="K1098" t="s">
        <v>20</v>
      </c>
      <c r="L1098" t="s">
        <v>26</v>
      </c>
    </row>
    <row r="1099" spans="2:12">
      <c r="B1099" t="s">
        <v>1</v>
      </c>
      <c r="C1099" s="5" t="s">
        <v>90</v>
      </c>
      <c r="D1099" s="1" t="s">
        <v>91</v>
      </c>
      <c r="E1099">
        <v>270</v>
      </c>
      <c r="F1099">
        <v>2</v>
      </c>
      <c r="G1099" s="32">
        <v>2</v>
      </c>
      <c r="H1099">
        <v>1</v>
      </c>
      <c r="J1099" t="s">
        <v>52</v>
      </c>
      <c r="K1099" t="s">
        <v>37</v>
      </c>
      <c r="L1099" t="s">
        <v>28</v>
      </c>
    </row>
    <row r="1100" spans="2:12">
      <c r="B1100" t="s">
        <v>1</v>
      </c>
      <c r="C1100" s="5" t="s">
        <v>90</v>
      </c>
      <c r="D1100" s="1" t="s">
        <v>91</v>
      </c>
      <c r="E1100">
        <v>280</v>
      </c>
      <c r="F1100">
        <v>1</v>
      </c>
      <c r="G1100" s="32">
        <v>1</v>
      </c>
      <c r="H1100">
        <v>1</v>
      </c>
      <c r="J1100" t="s">
        <v>19</v>
      </c>
      <c r="K1100" t="s">
        <v>20</v>
      </c>
      <c r="L1100" t="s">
        <v>26</v>
      </c>
    </row>
    <row r="1101" spans="2:12">
      <c r="B1101" t="s">
        <v>1</v>
      </c>
      <c r="C1101" s="5" t="s">
        <v>90</v>
      </c>
      <c r="D1101" s="1" t="s">
        <v>91</v>
      </c>
      <c r="E1101">
        <v>280</v>
      </c>
      <c r="F1101">
        <v>2</v>
      </c>
      <c r="G1101" s="32">
        <v>1</v>
      </c>
      <c r="H1101">
        <v>1</v>
      </c>
      <c r="J1101" t="s">
        <v>52</v>
      </c>
      <c r="K1101" t="s">
        <v>37</v>
      </c>
      <c r="L1101" t="s">
        <v>28</v>
      </c>
    </row>
    <row r="1102" spans="2:12">
      <c r="B1102" t="s">
        <v>1</v>
      </c>
      <c r="C1102" s="5" t="s">
        <v>90</v>
      </c>
      <c r="D1102" s="1" t="s">
        <v>91</v>
      </c>
      <c r="E1102">
        <v>290</v>
      </c>
      <c r="F1102">
        <v>1</v>
      </c>
      <c r="G1102" s="32">
        <v>1</v>
      </c>
      <c r="H1102">
        <v>1</v>
      </c>
      <c r="J1102" t="s">
        <v>19</v>
      </c>
      <c r="K1102" t="s">
        <v>20</v>
      </c>
      <c r="L1102" t="s">
        <v>26</v>
      </c>
    </row>
    <row r="1103" spans="2:12">
      <c r="B1103" t="s">
        <v>1</v>
      </c>
      <c r="C1103" s="5" t="s">
        <v>90</v>
      </c>
      <c r="D1103" s="1" t="s">
        <v>91</v>
      </c>
      <c r="E1103">
        <v>290</v>
      </c>
      <c r="F1103">
        <v>2</v>
      </c>
      <c r="G1103" s="32">
        <v>1</v>
      </c>
      <c r="H1103">
        <v>1</v>
      </c>
      <c r="J1103" t="s">
        <v>52</v>
      </c>
      <c r="K1103" t="s">
        <v>37</v>
      </c>
      <c r="L1103" t="s">
        <v>28</v>
      </c>
    </row>
    <row r="1104" spans="2:12">
      <c r="B1104" t="s">
        <v>1</v>
      </c>
      <c r="C1104" s="5" t="s">
        <v>90</v>
      </c>
      <c r="D1104" s="1" t="s">
        <v>91</v>
      </c>
      <c r="E1104">
        <v>300</v>
      </c>
      <c r="F1104">
        <v>1</v>
      </c>
      <c r="G1104" s="32">
        <v>1</v>
      </c>
      <c r="H1104">
        <v>1</v>
      </c>
      <c r="J1104" t="s">
        <v>52</v>
      </c>
      <c r="K1104" t="s">
        <v>37</v>
      </c>
      <c r="L1104" t="s">
        <v>28</v>
      </c>
    </row>
    <row r="1105" spans="2:12">
      <c r="B1105" t="s">
        <v>1</v>
      </c>
      <c r="C1105" s="5" t="s">
        <v>90</v>
      </c>
      <c r="D1105" s="1" t="s">
        <v>91</v>
      </c>
      <c r="E1105">
        <v>300</v>
      </c>
      <c r="F1105">
        <v>2</v>
      </c>
      <c r="G1105" s="32">
        <v>1</v>
      </c>
      <c r="H1105">
        <v>1</v>
      </c>
      <c r="J1105" t="s">
        <v>19</v>
      </c>
      <c r="K1105" t="s">
        <v>20</v>
      </c>
      <c r="L1105" t="s">
        <v>26</v>
      </c>
    </row>
    <row r="1106" spans="2:12">
      <c r="B1106" t="s">
        <v>1</v>
      </c>
      <c r="C1106" s="5" t="s">
        <v>90</v>
      </c>
      <c r="D1106" s="1" t="s">
        <v>91</v>
      </c>
      <c r="E1106">
        <v>310</v>
      </c>
      <c r="F1106">
        <v>1</v>
      </c>
      <c r="G1106" s="32">
        <v>1</v>
      </c>
      <c r="H1106">
        <v>1</v>
      </c>
      <c r="J1106" t="s">
        <v>52</v>
      </c>
      <c r="K1106" t="s">
        <v>37</v>
      </c>
      <c r="L1106" t="s">
        <v>28</v>
      </c>
    </row>
    <row r="1107" spans="2:12">
      <c r="B1107" t="s">
        <v>1</v>
      </c>
      <c r="C1107" s="5" t="s">
        <v>90</v>
      </c>
      <c r="D1107" s="1" t="s">
        <v>91</v>
      </c>
      <c r="E1107">
        <v>310</v>
      </c>
      <c r="F1107">
        <v>2</v>
      </c>
      <c r="G1107" s="32">
        <v>1</v>
      </c>
      <c r="H1107">
        <v>1</v>
      </c>
      <c r="J1107" t="s">
        <v>19</v>
      </c>
      <c r="K1107" t="s">
        <v>20</v>
      </c>
      <c r="L1107" t="s">
        <v>26</v>
      </c>
    </row>
    <row r="1108" spans="2:12">
      <c r="B1108" t="s">
        <v>1</v>
      </c>
      <c r="C1108" s="5" t="s">
        <v>90</v>
      </c>
      <c r="D1108" s="1" t="s">
        <v>91</v>
      </c>
      <c r="E1108">
        <v>320</v>
      </c>
      <c r="F1108">
        <v>1</v>
      </c>
      <c r="G1108" s="32">
        <v>1</v>
      </c>
      <c r="H1108">
        <v>1</v>
      </c>
      <c r="J1108" t="s">
        <v>19</v>
      </c>
      <c r="K1108" t="s">
        <v>20</v>
      </c>
      <c r="L1108" t="s">
        <v>26</v>
      </c>
    </row>
    <row r="1109" spans="2:12">
      <c r="B1109" t="s">
        <v>1</v>
      </c>
      <c r="C1109" s="5" t="s">
        <v>90</v>
      </c>
      <c r="D1109" s="1" t="s">
        <v>91</v>
      </c>
      <c r="E1109">
        <v>330</v>
      </c>
      <c r="F1109">
        <v>1</v>
      </c>
      <c r="G1109" s="32">
        <v>1</v>
      </c>
      <c r="H1109">
        <v>1</v>
      </c>
      <c r="J1109" t="s">
        <v>19</v>
      </c>
      <c r="K1109" t="s">
        <v>20</v>
      </c>
      <c r="L1109" t="s">
        <v>26</v>
      </c>
    </row>
    <row r="1110" spans="2:12">
      <c r="B1110" t="s">
        <v>1</v>
      </c>
      <c r="C1110" s="5" t="s">
        <v>90</v>
      </c>
      <c r="D1110" s="1" t="s">
        <v>91</v>
      </c>
      <c r="E1110">
        <v>330</v>
      </c>
      <c r="F1110">
        <v>2</v>
      </c>
      <c r="G1110" s="32">
        <v>1</v>
      </c>
      <c r="H1110">
        <v>1</v>
      </c>
      <c r="J1110" t="s">
        <v>52</v>
      </c>
      <c r="K1110" t="s">
        <v>37</v>
      </c>
      <c r="L1110" t="s">
        <v>28</v>
      </c>
    </row>
    <row r="1111" spans="2:12">
      <c r="B1111" t="s">
        <v>1</v>
      </c>
      <c r="C1111" s="4" t="s">
        <v>90</v>
      </c>
      <c r="D1111" t="s">
        <v>92</v>
      </c>
      <c r="E1111">
        <v>0</v>
      </c>
      <c r="F1111">
        <v>1</v>
      </c>
      <c r="G1111" s="32">
        <v>1</v>
      </c>
      <c r="H1111">
        <v>1</v>
      </c>
      <c r="J1111" t="s">
        <v>19</v>
      </c>
      <c r="K1111" t="s">
        <v>20</v>
      </c>
      <c r="L1111" t="s">
        <v>26</v>
      </c>
    </row>
    <row r="1112" spans="2:12">
      <c r="B1112" t="s">
        <v>1</v>
      </c>
      <c r="C1112" s="4" t="s">
        <v>90</v>
      </c>
      <c r="D1112" t="s">
        <v>92</v>
      </c>
      <c r="E1112">
        <v>0</v>
      </c>
      <c r="F1112">
        <v>2</v>
      </c>
      <c r="G1112" s="32">
        <v>1</v>
      </c>
      <c r="H1112">
        <v>1</v>
      </c>
      <c r="J1112" t="s">
        <v>52</v>
      </c>
      <c r="K1112" t="s">
        <v>37</v>
      </c>
      <c r="L1112" t="s">
        <v>28</v>
      </c>
    </row>
    <row r="1113" spans="2:12">
      <c r="B1113" t="s">
        <v>1</v>
      </c>
      <c r="C1113" s="4" t="s">
        <v>90</v>
      </c>
      <c r="D1113" t="s">
        <v>92</v>
      </c>
      <c r="E1113">
        <v>10</v>
      </c>
      <c r="F1113">
        <v>1</v>
      </c>
      <c r="G1113" s="32">
        <v>1</v>
      </c>
      <c r="H1113">
        <v>1</v>
      </c>
      <c r="J1113" t="s">
        <v>19</v>
      </c>
      <c r="K1113" t="s">
        <v>20</v>
      </c>
      <c r="L1113" t="s">
        <v>26</v>
      </c>
    </row>
    <row r="1114" spans="2:12">
      <c r="B1114" t="s">
        <v>1</v>
      </c>
      <c r="C1114" s="4" t="s">
        <v>90</v>
      </c>
      <c r="D1114" t="s">
        <v>92</v>
      </c>
      <c r="E1114">
        <v>10</v>
      </c>
      <c r="F1114">
        <v>2</v>
      </c>
      <c r="G1114" s="32">
        <v>2</v>
      </c>
      <c r="H1114">
        <v>1</v>
      </c>
      <c r="J1114" t="s">
        <v>52</v>
      </c>
      <c r="K1114" t="s">
        <v>33</v>
      </c>
      <c r="L1114" t="s">
        <v>28</v>
      </c>
    </row>
    <row r="1115" spans="2:12">
      <c r="B1115" t="s">
        <v>1</v>
      </c>
      <c r="C1115" s="4" t="s">
        <v>90</v>
      </c>
      <c r="D1115" t="s">
        <v>92</v>
      </c>
      <c r="E1115">
        <v>20</v>
      </c>
      <c r="F1115">
        <v>1</v>
      </c>
      <c r="G1115" s="32">
        <v>1</v>
      </c>
      <c r="H1115">
        <v>1</v>
      </c>
      <c r="J1115" t="s">
        <v>19</v>
      </c>
      <c r="K1115" t="s">
        <v>20</v>
      </c>
      <c r="L1115" t="s">
        <v>26</v>
      </c>
    </row>
    <row r="1116" spans="2:12">
      <c r="B1116" t="s">
        <v>1</v>
      </c>
      <c r="C1116" s="4" t="s">
        <v>90</v>
      </c>
      <c r="D1116" t="s">
        <v>92</v>
      </c>
      <c r="E1116">
        <v>20</v>
      </c>
      <c r="F1116">
        <v>2</v>
      </c>
      <c r="G1116" s="32">
        <v>1</v>
      </c>
      <c r="H1116">
        <v>1</v>
      </c>
      <c r="J1116" t="s">
        <v>52</v>
      </c>
      <c r="K1116" t="s">
        <v>37</v>
      </c>
      <c r="L1116" t="s">
        <v>28</v>
      </c>
    </row>
    <row r="1117" spans="2:12">
      <c r="B1117" t="s">
        <v>1</v>
      </c>
      <c r="C1117" s="4" t="s">
        <v>90</v>
      </c>
      <c r="D1117" t="s">
        <v>92</v>
      </c>
      <c r="E1117">
        <v>30</v>
      </c>
      <c r="F1117">
        <v>1</v>
      </c>
      <c r="G1117" s="32">
        <v>1</v>
      </c>
      <c r="H1117">
        <v>1</v>
      </c>
      <c r="J1117" t="s">
        <v>19</v>
      </c>
      <c r="K1117" t="s">
        <v>20</v>
      </c>
      <c r="L1117" t="s">
        <v>26</v>
      </c>
    </row>
    <row r="1118" spans="2:12">
      <c r="B1118" t="s">
        <v>1</v>
      </c>
      <c r="C1118" s="4" t="s">
        <v>90</v>
      </c>
      <c r="D1118" t="s">
        <v>92</v>
      </c>
      <c r="E1118">
        <v>30</v>
      </c>
      <c r="F1118">
        <v>2</v>
      </c>
      <c r="G1118" s="32">
        <v>1</v>
      </c>
      <c r="H1118">
        <v>1</v>
      </c>
      <c r="J1118" t="s">
        <v>52</v>
      </c>
      <c r="K1118" t="s">
        <v>33</v>
      </c>
      <c r="L1118" t="s">
        <v>28</v>
      </c>
    </row>
    <row r="1119" spans="2:12">
      <c r="B1119" t="s">
        <v>1</v>
      </c>
      <c r="C1119" s="4" t="s">
        <v>90</v>
      </c>
      <c r="D1119" t="s">
        <v>92</v>
      </c>
      <c r="E1119">
        <v>40</v>
      </c>
      <c r="F1119">
        <v>1</v>
      </c>
      <c r="G1119" s="32">
        <v>1</v>
      </c>
      <c r="H1119">
        <v>1</v>
      </c>
      <c r="J1119" t="s">
        <v>19</v>
      </c>
      <c r="K1119" t="s">
        <v>20</v>
      </c>
      <c r="L1119" t="s">
        <v>26</v>
      </c>
    </row>
    <row r="1120" spans="2:12">
      <c r="B1120" t="s">
        <v>1</v>
      </c>
      <c r="C1120" s="4" t="s">
        <v>90</v>
      </c>
      <c r="D1120" t="s">
        <v>92</v>
      </c>
      <c r="E1120">
        <v>40</v>
      </c>
      <c r="F1120">
        <v>2</v>
      </c>
      <c r="G1120" s="32">
        <v>1</v>
      </c>
      <c r="H1120">
        <v>1</v>
      </c>
      <c r="J1120" t="s">
        <v>52</v>
      </c>
      <c r="K1120" t="s">
        <v>33</v>
      </c>
      <c r="L1120" t="s">
        <v>28</v>
      </c>
    </row>
    <row r="1121" spans="2:12">
      <c r="B1121" t="s">
        <v>1</v>
      </c>
      <c r="C1121" s="4" t="s">
        <v>90</v>
      </c>
      <c r="D1121" t="s">
        <v>92</v>
      </c>
      <c r="E1121">
        <v>50</v>
      </c>
      <c r="F1121">
        <v>1</v>
      </c>
      <c r="G1121" s="32">
        <v>1</v>
      </c>
      <c r="H1121">
        <v>1</v>
      </c>
      <c r="J1121" t="s">
        <v>19</v>
      </c>
      <c r="K1121" t="s">
        <v>20</v>
      </c>
      <c r="L1121" t="s">
        <v>26</v>
      </c>
    </row>
    <row r="1122" spans="2:12">
      <c r="B1122" t="s">
        <v>1</v>
      </c>
      <c r="C1122" s="4" t="s">
        <v>90</v>
      </c>
      <c r="D1122" t="s">
        <v>92</v>
      </c>
      <c r="E1122">
        <v>50</v>
      </c>
      <c r="F1122">
        <v>2</v>
      </c>
      <c r="G1122" s="32">
        <v>1</v>
      </c>
      <c r="H1122">
        <v>1</v>
      </c>
      <c r="J1122" t="s">
        <v>52</v>
      </c>
      <c r="K1122" t="s">
        <v>33</v>
      </c>
      <c r="L1122" t="s">
        <v>28</v>
      </c>
    </row>
    <row r="1123" spans="2:12">
      <c r="B1123" t="s">
        <v>1</v>
      </c>
      <c r="C1123" s="4" t="s">
        <v>90</v>
      </c>
      <c r="D1123" t="s">
        <v>92</v>
      </c>
      <c r="E1123">
        <v>60</v>
      </c>
      <c r="F1123">
        <v>1</v>
      </c>
      <c r="G1123" s="32">
        <v>1</v>
      </c>
      <c r="H1123">
        <v>1</v>
      </c>
      <c r="J1123" t="s">
        <v>19</v>
      </c>
      <c r="K1123" t="s">
        <v>20</v>
      </c>
      <c r="L1123" t="s">
        <v>26</v>
      </c>
    </row>
    <row r="1124" spans="2:12">
      <c r="B1124" t="s">
        <v>1</v>
      </c>
      <c r="C1124" s="4" t="s">
        <v>90</v>
      </c>
      <c r="D1124" t="s">
        <v>92</v>
      </c>
      <c r="E1124">
        <v>60</v>
      </c>
      <c r="F1124">
        <v>2</v>
      </c>
      <c r="G1124" s="32">
        <v>2</v>
      </c>
      <c r="H1124">
        <v>1</v>
      </c>
      <c r="J1124" t="s">
        <v>52</v>
      </c>
      <c r="K1124" t="s">
        <v>33</v>
      </c>
      <c r="L1124" t="s">
        <v>28</v>
      </c>
    </row>
    <row r="1125" spans="2:12">
      <c r="B1125" t="s">
        <v>1</v>
      </c>
      <c r="C1125" s="4" t="s">
        <v>90</v>
      </c>
      <c r="D1125" t="s">
        <v>92</v>
      </c>
      <c r="E1125">
        <v>70</v>
      </c>
      <c r="F1125">
        <v>1</v>
      </c>
      <c r="G1125" s="32">
        <v>1</v>
      </c>
      <c r="H1125">
        <v>1</v>
      </c>
      <c r="J1125" t="s">
        <v>19</v>
      </c>
      <c r="K1125" t="s">
        <v>20</v>
      </c>
      <c r="L1125" t="s">
        <v>26</v>
      </c>
    </row>
    <row r="1126" spans="2:12">
      <c r="B1126" t="s">
        <v>1</v>
      </c>
      <c r="C1126" s="4" t="s">
        <v>90</v>
      </c>
      <c r="D1126" t="s">
        <v>92</v>
      </c>
      <c r="E1126">
        <v>80</v>
      </c>
      <c r="F1126">
        <v>1</v>
      </c>
      <c r="G1126" s="32">
        <v>1</v>
      </c>
      <c r="H1126">
        <v>1</v>
      </c>
      <c r="J1126" t="s">
        <v>19</v>
      </c>
      <c r="K1126" t="s">
        <v>20</v>
      </c>
      <c r="L1126" t="s">
        <v>26</v>
      </c>
    </row>
    <row r="1127" spans="2:12">
      <c r="B1127" t="s">
        <v>1</v>
      </c>
      <c r="C1127" s="4" t="s">
        <v>90</v>
      </c>
      <c r="D1127" t="s">
        <v>92</v>
      </c>
      <c r="E1127">
        <v>80</v>
      </c>
      <c r="F1127">
        <v>2</v>
      </c>
      <c r="G1127" s="32">
        <v>0</v>
      </c>
      <c r="H1127">
        <v>0</v>
      </c>
      <c r="J1127" t="s">
        <v>35</v>
      </c>
      <c r="L1127" t="s">
        <v>28</v>
      </c>
    </row>
    <row r="1128" spans="2:12">
      <c r="D1128" t="s">
        <v>92</v>
      </c>
      <c r="E1128">
        <v>90</v>
      </c>
      <c r="F1128">
        <v>1</v>
      </c>
      <c r="H1128">
        <v>1</v>
      </c>
      <c r="J1128" t="s">
        <v>38</v>
      </c>
      <c r="K1128" t="s">
        <v>34</v>
      </c>
      <c r="L1128" t="s">
        <v>28</v>
      </c>
    </row>
    <row r="1129" spans="2:12">
      <c r="B1129" t="s">
        <v>1</v>
      </c>
      <c r="C1129" s="4" t="s">
        <v>90</v>
      </c>
      <c r="D1129" t="s">
        <v>92</v>
      </c>
      <c r="E1129">
        <v>100</v>
      </c>
      <c r="F1129">
        <v>1</v>
      </c>
      <c r="G1129" s="32">
        <v>1</v>
      </c>
      <c r="H1129">
        <v>1</v>
      </c>
      <c r="J1129" t="s">
        <v>35</v>
      </c>
      <c r="K1129" t="s">
        <v>36</v>
      </c>
      <c r="L1129" t="s">
        <v>28</v>
      </c>
    </row>
    <row r="1130" spans="2:12">
      <c r="B1130" t="s">
        <v>1</v>
      </c>
      <c r="C1130" s="4" t="s">
        <v>90</v>
      </c>
      <c r="D1130" t="s">
        <v>92</v>
      </c>
      <c r="E1130">
        <v>110</v>
      </c>
      <c r="F1130">
        <v>1</v>
      </c>
      <c r="G1130" s="32">
        <v>1</v>
      </c>
      <c r="H1130">
        <v>1</v>
      </c>
      <c r="J1130" t="s">
        <v>19</v>
      </c>
      <c r="K1130" t="s">
        <v>20</v>
      </c>
      <c r="L1130" t="s">
        <v>26</v>
      </c>
    </row>
    <row r="1131" spans="2:12">
      <c r="B1131" t="s">
        <v>1</v>
      </c>
      <c r="C1131" s="4" t="s">
        <v>90</v>
      </c>
      <c r="D1131" t="s">
        <v>92</v>
      </c>
      <c r="E1131">
        <v>120</v>
      </c>
      <c r="F1131">
        <v>1</v>
      </c>
      <c r="G1131" s="32">
        <v>1</v>
      </c>
      <c r="H1131">
        <v>1</v>
      </c>
      <c r="J1131" t="s">
        <v>19</v>
      </c>
      <c r="K1131" t="s">
        <v>20</v>
      </c>
      <c r="L1131" t="s">
        <v>26</v>
      </c>
    </row>
    <row r="1132" spans="2:12">
      <c r="B1132" t="s">
        <v>1</v>
      </c>
      <c r="C1132" s="4" t="s">
        <v>90</v>
      </c>
      <c r="D1132" t="s">
        <v>92</v>
      </c>
      <c r="E1132">
        <v>120</v>
      </c>
      <c r="F1132">
        <v>2</v>
      </c>
      <c r="G1132" s="32">
        <v>2</v>
      </c>
      <c r="H1132">
        <v>1</v>
      </c>
      <c r="J1132" t="s">
        <v>35</v>
      </c>
      <c r="K1132" t="s">
        <v>36</v>
      </c>
      <c r="L1132" t="s">
        <v>28</v>
      </c>
    </row>
    <row r="1133" spans="2:12">
      <c r="B1133" t="s">
        <v>1</v>
      </c>
      <c r="C1133" s="4" t="s">
        <v>90</v>
      </c>
      <c r="D1133" t="s">
        <v>92</v>
      </c>
      <c r="E1133">
        <v>130</v>
      </c>
      <c r="F1133">
        <v>1</v>
      </c>
      <c r="G1133" s="32">
        <v>1</v>
      </c>
      <c r="H1133">
        <v>1</v>
      </c>
      <c r="J1133" t="s">
        <v>19</v>
      </c>
      <c r="K1133" t="s">
        <v>20</v>
      </c>
      <c r="L1133" t="s">
        <v>26</v>
      </c>
    </row>
    <row r="1134" spans="2:12">
      <c r="B1134" t="s">
        <v>1</v>
      </c>
      <c r="C1134" s="4" t="s">
        <v>90</v>
      </c>
      <c r="D1134" t="s">
        <v>92</v>
      </c>
      <c r="E1134">
        <v>140</v>
      </c>
      <c r="F1134">
        <v>1</v>
      </c>
      <c r="G1134" s="32">
        <v>1</v>
      </c>
      <c r="H1134">
        <v>1</v>
      </c>
      <c r="J1134" t="s">
        <v>19</v>
      </c>
      <c r="K1134" t="s">
        <v>20</v>
      </c>
      <c r="L1134" t="s">
        <v>26</v>
      </c>
    </row>
    <row r="1135" spans="2:12">
      <c r="B1135" t="s">
        <v>1</v>
      </c>
      <c r="C1135" s="4" t="s">
        <v>90</v>
      </c>
      <c r="D1135" t="s">
        <v>92</v>
      </c>
      <c r="E1135">
        <v>140</v>
      </c>
      <c r="F1135">
        <v>2</v>
      </c>
      <c r="G1135" s="32">
        <v>0</v>
      </c>
      <c r="H1135">
        <v>0</v>
      </c>
      <c r="J1135" t="s">
        <v>47</v>
      </c>
      <c r="L1135" t="s">
        <v>28</v>
      </c>
    </row>
    <row r="1136" spans="2:12">
      <c r="B1136" t="s">
        <v>1</v>
      </c>
      <c r="C1136" s="4" t="s">
        <v>90</v>
      </c>
      <c r="D1136" t="s">
        <v>92</v>
      </c>
      <c r="E1136">
        <v>150</v>
      </c>
      <c r="F1136">
        <v>1</v>
      </c>
      <c r="G1136" s="32">
        <v>1</v>
      </c>
      <c r="H1136">
        <v>1</v>
      </c>
      <c r="J1136" t="s">
        <v>19</v>
      </c>
      <c r="K1136" t="s">
        <v>20</v>
      </c>
      <c r="L1136" t="s">
        <v>26</v>
      </c>
    </row>
    <row r="1137" spans="2:12">
      <c r="B1137" t="s">
        <v>1</v>
      </c>
      <c r="C1137" s="4" t="s">
        <v>90</v>
      </c>
      <c r="D1137" t="s">
        <v>92</v>
      </c>
      <c r="E1137">
        <v>150</v>
      </c>
      <c r="F1137">
        <v>2</v>
      </c>
      <c r="G1137" s="32">
        <v>2</v>
      </c>
      <c r="H1137">
        <v>1</v>
      </c>
      <c r="J1137" t="s">
        <v>47</v>
      </c>
      <c r="K1137" t="s">
        <v>36</v>
      </c>
      <c r="L1137" t="s">
        <v>28</v>
      </c>
    </row>
    <row r="1138" spans="2:12">
      <c r="B1138" t="s">
        <v>1</v>
      </c>
      <c r="C1138" s="4" t="s">
        <v>90</v>
      </c>
      <c r="D1138" t="s">
        <v>92</v>
      </c>
      <c r="E1138">
        <v>160</v>
      </c>
      <c r="F1138">
        <v>1</v>
      </c>
      <c r="G1138" s="32">
        <v>1</v>
      </c>
      <c r="H1138">
        <v>1</v>
      </c>
      <c r="J1138" t="s">
        <v>19</v>
      </c>
      <c r="K1138" t="s">
        <v>20</v>
      </c>
      <c r="L1138" t="s">
        <v>26</v>
      </c>
    </row>
    <row r="1139" spans="2:12">
      <c r="B1139" t="s">
        <v>1</v>
      </c>
      <c r="C1139" s="4" t="s">
        <v>90</v>
      </c>
      <c r="D1139" t="s">
        <v>92</v>
      </c>
      <c r="E1139">
        <v>160</v>
      </c>
      <c r="F1139">
        <v>2</v>
      </c>
      <c r="G1139" s="32">
        <v>1</v>
      </c>
      <c r="H1139">
        <v>2</v>
      </c>
      <c r="J1139" t="s">
        <v>47</v>
      </c>
      <c r="K1139" t="s">
        <v>33</v>
      </c>
      <c r="L1139" t="s">
        <v>28</v>
      </c>
    </row>
    <row r="1140" spans="2:12">
      <c r="B1140" t="s">
        <v>1</v>
      </c>
      <c r="C1140" s="4" t="s">
        <v>90</v>
      </c>
      <c r="D1140" t="s">
        <v>92</v>
      </c>
      <c r="E1140">
        <v>170</v>
      </c>
      <c r="F1140">
        <v>1</v>
      </c>
      <c r="G1140" s="32">
        <v>1</v>
      </c>
      <c r="H1140">
        <v>1</v>
      </c>
      <c r="J1140" t="s">
        <v>19</v>
      </c>
      <c r="K1140" t="s">
        <v>20</v>
      </c>
      <c r="L1140" t="s">
        <v>26</v>
      </c>
    </row>
    <row r="1141" spans="2:12">
      <c r="B1141" t="s">
        <v>1</v>
      </c>
      <c r="C1141" s="4" t="s">
        <v>90</v>
      </c>
      <c r="D1141" t="s">
        <v>92</v>
      </c>
      <c r="E1141">
        <v>180</v>
      </c>
      <c r="F1141">
        <v>1</v>
      </c>
      <c r="G1141" s="32">
        <v>1</v>
      </c>
      <c r="H1141">
        <v>1</v>
      </c>
      <c r="J1141" t="s">
        <v>19</v>
      </c>
      <c r="K1141" t="s">
        <v>20</v>
      </c>
      <c r="L1141" t="s">
        <v>26</v>
      </c>
    </row>
    <row r="1142" spans="2:12">
      <c r="B1142" t="s">
        <v>1</v>
      </c>
      <c r="C1142" s="4" t="s">
        <v>90</v>
      </c>
      <c r="D1142" t="s">
        <v>92</v>
      </c>
      <c r="E1142">
        <v>180</v>
      </c>
      <c r="F1142">
        <v>2</v>
      </c>
      <c r="G1142" s="32">
        <v>1</v>
      </c>
      <c r="H1142">
        <v>1</v>
      </c>
      <c r="J1142" t="s">
        <v>52</v>
      </c>
      <c r="K1142" t="s">
        <v>33</v>
      </c>
      <c r="L1142" t="s">
        <v>28</v>
      </c>
    </row>
    <row r="1143" spans="2:12">
      <c r="B1143" t="s">
        <v>1</v>
      </c>
      <c r="C1143" s="4" t="s">
        <v>90</v>
      </c>
      <c r="D1143" t="s">
        <v>92</v>
      </c>
      <c r="E1143">
        <v>190</v>
      </c>
      <c r="F1143">
        <v>1</v>
      </c>
      <c r="G1143" s="32">
        <v>1</v>
      </c>
      <c r="H1143">
        <v>1</v>
      </c>
      <c r="J1143" t="s">
        <v>19</v>
      </c>
      <c r="K1143" t="s">
        <v>20</v>
      </c>
      <c r="L1143" t="s">
        <v>26</v>
      </c>
    </row>
    <row r="1144" spans="2:12">
      <c r="B1144" t="s">
        <v>1</v>
      </c>
      <c r="C1144" s="4" t="s">
        <v>90</v>
      </c>
      <c r="D1144" t="s">
        <v>92</v>
      </c>
      <c r="E1144">
        <v>190</v>
      </c>
      <c r="F1144">
        <v>2</v>
      </c>
      <c r="G1144" s="32">
        <v>1</v>
      </c>
      <c r="H1144">
        <v>1</v>
      </c>
      <c r="J1144" t="s">
        <v>52</v>
      </c>
      <c r="K1144" t="s">
        <v>33</v>
      </c>
      <c r="L1144" t="s">
        <v>28</v>
      </c>
    </row>
    <row r="1145" spans="2:12">
      <c r="B1145" t="s">
        <v>1</v>
      </c>
      <c r="C1145" s="4" t="s">
        <v>90</v>
      </c>
      <c r="D1145" t="s">
        <v>92</v>
      </c>
      <c r="E1145">
        <v>200</v>
      </c>
      <c r="F1145">
        <v>1</v>
      </c>
      <c r="G1145" s="32">
        <v>1</v>
      </c>
      <c r="H1145">
        <v>1</v>
      </c>
      <c r="J1145" t="s">
        <v>19</v>
      </c>
      <c r="K1145" t="s">
        <v>20</v>
      </c>
      <c r="L1145" t="s">
        <v>26</v>
      </c>
    </row>
    <row r="1146" spans="2:12">
      <c r="B1146" t="s">
        <v>1</v>
      </c>
      <c r="C1146" s="4" t="s">
        <v>90</v>
      </c>
      <c r="D1146" t="s">
        <v>92</v>
      </c>
      <c r="E1146">
        <v>200</v>
      </c>
      <c r="F1146">
        <v>2</v>
      </c>
      <c r="G1146" s="32">
        <v>1</v>
      </c>
      <c r="H1146">
        <v>1</v>
      </c>
      <c r="J1146" t="s">
        <v>52</v>
      </c>
      <c r="K1146" t="s">
        <v>33</v>
      </c>
      <c r="L1146" t="s">
        <v>28</v>
      </c>
    </row>
    <row r="1147" spans="2:12">
      <c r="B1147" t="s">
        <v>1</v>
      </c>
      <c r="C1147" s="4" t="s">
        <v>90</v>
      </c>
      <c r="D1147" t="s">
        <v>92</v>
      </c>
      <c r="E1147">
        <v>210</v>
      </c>
      <c r="F1147">
        <v>1</v>
      </c>
      <c r="G1147" s="32">
        <v>1</v>
      </c>
      <c r="H1147">
        <v>1</v>
      </c>
      <c r="J1147" t="s">
        <v>19</v>
      </c>
      <c r="K1147" t="s">
        <v>20</v>
      </c>
      <c r="L1147" t="s">
        <v>26</v>
      </c>
    </row>
    <row r="1148" spans="2:12">
      <c r="B1148" t="s">
        <v>1</v>
      </c>
      <c r="C1148" s="4" t="s">
        <v>90</v>
      </c>
      <c r="D1148" t="s">
        <v>92</v>
      </c>
      <c r="E1148">
        <v>210</v>
      </c>
      <c r="F1148">
        <v>2</v>
      </c>
      <c r="G1148" s="32">
        <v>0</v>
      </c>
      <c r="H1148">
        <v>0</v>
      </c>
      <c r="J1148" t="s">
        <v>52</v>
      </c>
      <c r="L1148" t="s">
        <v>28</v>
      </c>
    </row>
    <row r="1149" spans="2:12">
      <c r="D1149" t="s">
        <v>92</v>
      </c>
      <c r="E1149">
        <v>220</v>
      </c>
      <c r="F1149">
        <v>1</v>
      </c>
      <c r="H1149">
        <v>1</v>
      </c>
      <c r="J1149" t="s">
        <v>53</v>
      </c>
      <c r="K1149" t="s">
        <v>34</v>
      </c>
      <c r="L1149" t="s">
        <v>28</v>
      </c>
    </row>
    <row r="1150" spans="2:12">
      <c r="B1150" t="s">
        <v>1</v>
      </c>
      <c r="C1150" s="4" t="s">
        <v>90</v>
      </c>
      <c r="D1150" t="s">
        <v>92</v>
      </c>
      <c r="E1150">
        <v>230</v>
      </c>
      <c r="F1150">
        <v>1</v>
      </c>
      <c r="G1150" s="32">
        <v>1</v>
      </c>
      <c r="H1150">
        <v>1</v>
      </c>
      <c r="J1150" t="s">
        <v>19</v>
      </c>
      <c r="K1150" t="s">
        <v>20</v>
      </c>
      <c r="L1150" t="s">
        <v>26</v>
      </c>
    </row>
    <row r="1151" spans="2:12">
      <c r="B1151" t="s">
        <v>1</v>
      </c>
      <c r="C1151" s="4" t="s">
        <v>90</v>
      </c>
      <c r="D1151" t="s">
        <v>92</v>
      </c>
      <c r="E1151">
        <v>230</v>
      </c>
      <c r="F1151">
        <v>2</v>
      </c>
      <c r="G1151" s="32">
        <v>2</v>
      </c>
      <c r="H1151">
        <v>1</v>
      </c>
      <c r="J1151" t="s">
        <v>52</v>
      </c>
      <c r="K1151" t="s">
        <v>33</v>
      </c>
      <c r="L1151" t="s">
        <v>28</v>
      </c>
    </row>
    <row r="1152" spans="2:12">
      <c r="B1152" t="s">
        <v>1</v>
      </c>
      <c r="C1152" s="4" t="s">
        <v>90</v>
      </c>
      <c r="D1152" t="s">
        <v>92</v>
      </c>
      <c r="E1152">
        <v>240</v>
      </c>
      <c r="F1152">
        <v>1</v>
      </c>
      <c r="G1152" s="32">
        <v>1</v>
      </c>
      <c r="H1152">
        <v>1</v>
      </c>
      <c r="J1152" t="s">
        <v>19</v>
      </c>
      <c r="K1152" t="s">
        <v>20</v>
      </c>
      <c r="L1152" t="s">
        <v>26</v>
      </c>
    </row>
    <row r="1153" spans="2:12">
      <c r="B1153" t="s">
        <v>1</v>
      </c>
      <c r="C1153" s="4" t="s">
        <v>90</v>
      </c>
      <c r="D1153" t="s">
        <v>92</v>
      </c>
      <c r="E1153">
        <v>240</v>
      </c>
      <c r="F1153">
        <v>2</v>
      </c>
      <c r="G1153" s="32">
        <v>0</v>
      </c>
      <c r="H1153">
        <v>0</v>
      </c>
      <c r="J1153" t="s">
        <v>52</v>
      </c>
      <c r="L1153" t="s">
        <v>28</v>
      </c>
    </row>
    <row r="1154" spans="2:12">
      <c r="B1154" t="s">
        <v>1</v>
      </c>
      <c r="C1154" s="4" t="s">
        <v>90</v>
      </c>
      <c r="D1154" t="s">
        <v>92</v>
      </c>
      <c r="E1154">
        <v>250</v>
      </c>
      <c r="F1154">
        <v>1</v>
      </c>
      <c r="G1154" s="32">
        <v>1</v>
      </c>
      <c r="H1154">
        <v>1</v>
      </c>
      <c r="J1154" t="s">
        <v>19</v>
      </c>
      <c r="K1154" t="s">
        <v>20</v>
      </c>
      <c r="L1154" t="s">
        <v>26</v>
      </c>
    </row>
    <row r="1155" spans="2:12">
      <c r="B1155" t="s">
        <v>1</v>
      </c>
      <c r="C1155" s="4" t="s">
        <v>90</v>
      </c>
      <c r="D1155" t="s">
        <v>92</v>
      </c>
      <c r="E1155">
        <v>250</v>
      </c>
      <c r="F1155">
        <v>2</v>
      </c>
      <c r="G1155" s="32">
        <v>1</v>
      </c>
      <c r="H1155">
        <v>1</v>
      </c>
      <c r="J1155" t="s">
        <v>52</v>
      </c>
      <c r="K1155" t="s">
        <v>33</v>
      </c>
      <c r="L1155" t="s">
        <v>28</v>
      </c>
    </row>
    <row r="1156" spans="2:12">
      <c r="B1156" t="s">
        <v>1</v>
      </c>
      <c r="C1156" s="4" t="s">
        <v>90</v>
      </c>
      <c r="D1156" t="s">
        <v>92</v>
      </c>
      <c r="E1156">
        <v>260</v>
      </c>
      <c r="F1156">
        <v>1</v>
      </c>
      <c r="G1156" s="32">
        <v>1</v>
      </c>
      <c r="H1156">
        <v>1</v>
      </c>
      <c r="J1156" t="s">
        <v>19</v>
      </c>
      <c r="K1156" t="s">
        <v>20</v>
      </c>
      <c r="L1156" t="s">
        <v>26</v>
      </c>
    </row>
    <row r="1157" spans="2:12">
      <c r="B1157" t="s">
        <v>1</v>
      </c>
      <c r="C1157" s="4" t="s">
        <v>90</v>
      </c>
      <c r="D1157" t="s">
        <v>92</v>
      </c>
      <c r="E1157">
        <v>260</v>
      </c>
      <c r="F1157">
        <v>2</v>
      </c>
      <c r="G1157" s="32">
        <v>1</v>
      </c>
      <c r="H1157">
        <v>1</v>
      </c>
      <c r="J1157" t="s">
        <v>52</v>
      </c>
      <c r="K1157" t="s">
        <v>33</v>
      </c>
      <c r="L1157" t="s">
        <v>28</v>
      </c>
    </row>
    <row r="1158" spans="2:12">
      <c r="D1158" t="s">
        <v>92</v>
      </c>
      <c r="E1158">
        <v>270</v>
      </c>
      <c r="I1158" t="s">
        <v>85</v>
      </c>
    </row>
    <row r="1159" spans="2:12">
      <c r="D1159" t="s">
        <v>92</v>
      </c>
      <c r="E1159">
        <v>280</v>
      </c>
      <c r="F1159">
        <v>0</v>
      </c>
    </row>
    <row r="1160" spans="2:12">
      <c r="B1160" t="s">
        <v>1</v>
      </c>
      <c r="C1160" s="4" t="s">
        <v>90</v>
      </c>
      <c r="D1160" t="s">
        <v>92</v>
      </c>
      <c r="E1160">
        <v>290</v>
      </c>
      <c r="F1160">
        <v>1</v>
      </c>
      <c r="G1160" s="32">
        <v>1</v>
      </c>
      <c r="H1160">
        <v>1</v>
      </c>
      <c r="J1160" t="s">
        <v>52</v>
      </c>
      <c r="K1160" t="s">
        <v>33</v>
      </c>
      <c r="L1160" t="s">
        <v>28</v>
      </c>
    </row>
    <row r="1161" spans="2:12">
      <c r="B1161" t="s">
        <v>1</v>
      </c>
      <c r="C1161" s="4" t="s">
        <v>90</v>
      </c>
      <c r="D1161" t="s">
        <v>92</v>
      </c>
      <c r="E1161">
        <v>300</v>
      </c>
      <c r="F1161">
        <v>1</v>
      </c>
      <c r="G1161" s="32">
        <v>3</v>
      </c>
      <c r="H1161">
        <v>0</v>
      </c>
      <c r="J1161" t="s">
        <v>52</v>
      </c>
      <c r="L1161" t="s">
        <v>28</v>
      </c>
    </row>
    <row r="1162" spans="2:12">
      <c r="B1162" t="s">
        <v>1</v>
      </c>
      <c r="C1162" s="4" t="s">
        <v>90</v>
      </c>
      <c r="D1162" t="s">
        <v>92</v>
      </c>
      <c r="E1162">
        <v>310</v>
      </c>
      <c r="F1162">
        <v>1</v>
      </c>
      <c r="G1162" s="32">
        <v>1</v>
      </c>
      <c r="H1162">
        <v>1</v>
      </c>
      <c r="J1162" t="s">
        <v>19</v>
      </c>
      <c r="K1162" t="s">
        <v>20</v>
      </c>
      <c r="L1162" t="s">
        <v>26</v>
      </c>
    </row>
    <row r="1163" spans="2:12">
      <c r="B1163" t="s">
        <v>1</v>
      </c>
      <c r="C1163" s="4" t="s">
        <v>90</v>
      </c>
      <c r="D1163" t="s">
        <v>92</v>
      </c>
      <c r="E1163">
        <v>310</v>
      </c>
      <c r="F1163">
        <v>2</v>
      </c>
      <c r="G1163" s="32">
        <v>2</v>
      </c>
      <c r="H1163">
        <v>1</v>
      </c>
      <c r="J1163" t="s">
        <v>52</v>
      </c>
      <c r="K1163" t="s">
        <v>33</v>
      </c>
      <c r="L1163" t="s">
        <v>28</v>
      </c>
    </row>
    <row r="1164" spans="2:12">
      <c r="B1164" t="s">
        <v>1</v>
      </c>
      <c r="C1164" s="4" t="s">
        <v>90</v>
      </c>
      <c r="D1164" t="s">
        <v>92</v>
      </c>
      <c r="E1164">
        <v>320</v>
      </c>
      <c r="F1164">
        <v>1</v>
      </c>
      <c r="G1164" s="32">
        <v>1</v>
      </c>
      <c r="H1164">
        <v>1</v>
      </c>
      <c r="J1164" t="s">
        <v>19</v>
      </c>
      <c r="K1164" t="s">
        <v>20</v>
      </c>
      <c r="L1164" t="s">
        <v>26</v>
      </c>
    </row>
    <row r="1165" spans="2:12">
      <c r="B1165" t="s">
        <v>1</v>
      </c>
      <c r="C1165" s="4" t="s">
        <v>90</v>
      </c>
      <c r="D1165" t="s">
        <v>92</v>
      </c>
      <c r="E1165">
        <v>320</v>
      </c>
      <c r="F1165">
        <v>2</v>
      </c>
      <c r="G1165" s="32">
        <v>1</v>
      </c>
      <c r="H1165">
        <v>1</v>
      </c>
      <c r="J1165" t="s">
        <v>52</v>
      </c>
      <c r="K1165" t="s">
        <v>33</v>
      </c>
      <c r="L1165" t="s">
        <v>28</v>
      </c>
    </row>
    <row r="1166" spans="2:12">
      <c r="B1166" t="s">
        <v>1</v>
      </c>
      <c r="C1166" s="4" t="s">
        <v>90</v>
      </c>
      <c r="D1166" t="s">
        <v>92</v>
      </c>
      <c r="E1166">
        <v>330</v>
      </c>
      <c r="F1166">
        <v>1</v>
      </c>
      <c r="G1166" s="32">
        <v>1</v>
      </c>
      <c r="H1166">
        <v>1</v>
      </c>
      <c r="J1166" t="s">
        <v>19</v>
      </c>
      <c r="K1166" t="s">
        <v>20</v>
      </c>
      <c r="L1166" t="s">
        <v>26</v>
      </c>
    </row>
    <row r="1167" spans="2:12">
      <c r="B1167" t="s">
        <v>1</v>
      </c>
      <c r="C1167" s="4" t="s">
        <v>90</v>
      </c>
      <c r="D1167" t="s">
        <v>92</v>
      </c>
      <c r="E1167">
        <v>330</v>
      </c>
      <c r="F1167">
        <v>2</v>
      </c>
      <c r="G1167" s="32">
        <v>0</v>
      </c>
      <c r="H1167">
        <v>0</v>
      </c>
      <c r="J1167" t="s">
        <v>52</v>
      </c>
      <c r="L1167" t="s">
        <v>28</v>
      </c>
    </row>
    <row r="1168" spans="2:12">
      <c r="B1168" t="s">
        <v>1</v>
      </c>
      <c r="C1168" s="5" t="s">
        <v>93</v>
      </c>
      <c r="D1168" s="1" t="s">
        <v>94</v>
      </c>
      <c r="E1168">
        <v>0</v>
      </c>
      <c r="F1168">
        <v>1</v>
      </c>
      <c r="G1168" s="32" t="s">
        <v>50</v>
      </c>
      <c r="I1168" t="s">
        <v>51</v>
      </c>
    </row>
    <row r="1169" spans="2:12">
      <c r="B1169" t="s">
        <v>1</v>
      </c>
      <c r="C1169" s="5" t="s">
        <v>93</v>
      </c>
      <c r="D1169" s="1" t="s">
        <v>94</v>
      </c>
      <c r="E1169">
        <v>10</v>
      </c>
      <c r="F1169">
        <v>1</v>
      </c>
      <c r="G1169" s="32" t="s">
        <v>50</v>
      </c>
      <c r="I1169" t="s">
        <v>51</v>
      </c>
    </row>
    <row r="1170" spans="2:12">
      <c r="D1170" t="s">
        <v>94</v>
      </c>
      <c r="E1170">
        <v>20</v>
      </c>
      <c r="F1170">
        <v>1</v>
      </c>
      <c r="H1170">
        <v>2</v>
      </c>
      <c r="J1170" t="s">
        <v>19</v>
      </c>
      <c r="K1170" t="s">
        <v>20</v>
      </c>
      <c r="L1170" t="s">
        <v>26</v>
      </c>
    </row>
    <row r="1171" spans="2:12">
      <c r="D1171" t="s">
        <v>94</v>
      </c>
      <c r="E1171">
        <v>20</v>
      </c>
      <c r="F1171">
        <v>2</v>
      </c>
      <c r="H1171">
        <v>0</v>
      </c>
      <c r="J1171" t="s">
        <v>53</v>
      </c>
      <c r="L1171" t="s">
        <v>28</v>
      </c>
    </row>
    <row r="1172" spans="2:12">
      <c r="D1172" t="s">
        <v>94</v>
      </c>
      <c r="E1172">
        <v>30</v>
      </c>
      <c r="F1172">
        <v>1</v>
      </c>
      <c r="H1172">
        <v>0</v>
      </c>
      <c r="J1172" t="s">
        <v>53</v>
      </c>
      <c r="L1172" t="s">
        <v>28</v>
      </c>
    </row>
    <row r="1173" spans="2:12">
      <c r="D1173" t="s">
        <v>94</v>
      </c>
      <c r="E1173">
        <v>30</v>
      </c>
      <c r="F1173">
        <v>2</v>
      </c>
      <c r="H1173">
        <v>2</v>
      </c>
      <c r="J1173" t="s">
        <v>19</v>
      </c>
      <c r="K1173" t="s">
        <v>20</v>
      </c>
      <c r="L1173" t="s">
        <v>26</v>
      </c>
    </row>
    <row r="1174" spans="2:12">
      <c r="B1174" t="s">
        <v>1</v>
      </c>
      <c r="C1174" s="5" t="s">
        <v>93</v>
      </c>
      <c r="D1174" s="1" t="s">
        <v>94</v>
      </c>
      <c r="E1174">
        <v>40</v>
      </c>
      <c r="F1174">
        <v>1</v>
      </c>
      <c r="G1174" s="32" t="s">
        <v>50</v>
      </c>
      <c r="I1174" t="s">
        <v>51</v>
      </c>
    </row>
    <row r="1175" spans="2:12">
      <c r="B1175" t="s">
        <v>1</v>
      </c>
      <c r="C1175" s="5" t="s">
        <v>93</v>
      </c>
      <c r="D1175" s="1" t="s">
        <v>94</v>
      </c>
      <c r="E1175">
        <v>50</v>
      </c>
      <c r="F1175">
        <v>1</v>
      </c>
      <c r="G1175" s="32" t="s">
        <v>50</v>
      </c>
      <c r="I1175" t="s">
        <v>51</v>
      </c>
    </row>
    <row r="1176" spans="2:12">
      <c r="D1176" t="s">
        <v>94</v>
      </c>
      <c r="E1176">
        <v>60</v>
      </c>
      <c r="F1176">
        <v>1</v>
      </c>
      <c r="H1176">
        <v>2</v>
      </c>
      <c r="J1176" t="s">
        <v>19</v>
      </c>
      <c r="K1176" t="s">
        <v>20</v>
      </c>
      <c r="L1176" t="s">
        <v>26</v>
      </c>
    </row>
    <row r="1177" spans="2:12">
      <c r="D1177" t="s">
        <v>94</v>
      </c>
      <c r="E1177">
        <v>60</v>
      </c>
      <c r="F1177">
        <v>2</v>
      </c>
      <c r="H1177">
        <v>1</v>
      </c>
      <c r="J1177" t="s">
        <v>53</v>
      </c>
      <c r="K1177" t="s">
        <v>34</v>
      </c>
      <c r="L1177" t="s">
        <v>28</v>
      </c>
    </row>
    <row r="1178" spans="2:12">
      <c r="B1178" t="s">
        <v>1</v>
      </c>
      <c r="C1178" s="5" t="s">
        <v>93</v>
      </c>
      <c r="D1178" s="1" t="s">
        <v>94</v>
      </c>
      <c r="E1178">
        <v>70</v>
      </c>
      <c r="F1178">
        <v>1</v>
      </c>
      <c r="G1178" s="32" t="s">
        <v>50</v>
      </c>
      <c r="I1178" t="s">
        <v>51</v>
      </c>
    </row>
    <row r="1179" spans="2:12">
      <c r="D1179" t="s">
        <v>94</v>
      </c>
      <c r="E1179">
        <v>80</v>
      </c>
      <c r="F1179">
        <v>1</v>
      </c>
      <c r="H1179">
        <v>1</v>
      </c>
      <c r="J1179" t="s">
        <v>19</v>
      </c>
      <c r="K1179" t="s">
        <v>20</v>
      </c>
      <c r="L1179" t="s">
        <v>26</v>
      </c>
    </row>
    <row r="1180" spans="2:12">
      <c r="D1180" t="s">
        <v>94</v>
      </c>
      <c r="E1180">
        <v>80</v>
      </c>
      <c r="F1180">
        <v>2</v>
      </c>
      <c r="H1180">
        <v>1</v>
      </c>
      <c r="J1180" t="s">
        <v>53</v>
      </c>
      <c r="K1180" t="s">
        <v>34</v>
      </c>
      <c r="L1180" t="s">
        <v>28</v>
      </c>
    </row>
    <row r="1181" spans="2:12">
      <c r="D1181" t="s">
        <v>94</v>
      </c>
      <c r="E1181">
        <v>90</v>
      </c>
      <c r="F1181">
        <v>1</v>
      </c>
      <c r="H1181">
        <v>1</v>
      </c>
      <c r="J1181" t="s">
        <v>19</v>
      </c>
      <c r="K1181" t="s">
        <v>20</v>
      </c>
      <c r="L1181" t="s">
        <v>26</v>
      </c>
    </row>
    <row r="1182" spans="2:12">
      <c r="D1182" t="s">
        <v>94</v>
      </c>
      <c r="E1182">
        <v>90</v>
      </c>
      <c r="F1182">
        <v>2</v>
      </c>
      <c r="H1182">
        <v>2</v>
      </c>
      <c r="J1182" t="s">
        <v>53</v>
      </c>
      <c r="K1182" t="s">
        <v>34</v>
      </c>
      <c r="L1182" t="s">
        <v>28</v>
      </c>
    </row>
    <row r="1183" spans="2:12">
      <c r="B1183" t="s">
        <v>1</v>
      </c>
      <c r="C1183" s="5" t="s">
        <v>93</v>
      </c>
      <c r="D1183" s="1" t="s">
        <v>94</v>
      </c>
      <c r="E1183">
        <v>100</v>
      </c>
      <c r="F1183">
        <v>1</v>
      </c>
      <c r="G1183" s="32">
        <v>1</v>
      </c>
      <c r="H1183">
        <v>1</v>
      </c>
      <c r="J1183" t="s">
        <v>19</v>
      </c>
      <c r="K1183" t="s">
        <v>20</v>
      </c>
      <c r="L1183" t="s">
        <v>26</v>
      </c>
    </row>
    <row r="1184" spans="2:12">
      <c r="B1184" t="s">
        <v>1</v>
      </c>
      <c r="C1184" s="5" t="s">
        <v>93</v>
      </c>
      <c r="D1184" s="1" t="s">
        <v>94</v>
      </c>
      <c r="E1184">
        <v>100</v>
      </c>
      <c r="F1184">
        <v>2</v>
      </c>
      <c r="G1184" s="32">
        <v>2</v>
      </c>
      <c r="H1184">
        <v>1</v>
      </c>
      <c r="J1184" t="s">
        <v>52</v>
      </c>
      <c r="K1184" t="s">
        <v>33</v>
      </c>
      <c r="L1184" t="s">
        <v>28</v>
      </c>
    </row>
    <row r="1185" spans="2:12">
      <c r="B1185" t="s">
        <v>1</v>
      </c>
      <c r="C1185" s="5" t="s">
        <v>93</v>
      </c>
      <c r="D1185" s="1" t="s">
        <v>94</v>
      </c>
      <c r="E1185">
        <v>110</v>
      </c>
      <c r="F1185">
        <v>1</v>
      </c>
      <c r="G1185" s="32">
        <v>1</v>
      </c>
      <c r="H1185">
        <v>1</v>
      </c>
      <c r="J1185" t="s">
        <v>19</v>
      </c>
      <c r="K1185" t="s">
        <v>20</v>
      </c>
      <c r="L1185" t="s">
        <v>26</v>
      </c>
    </row>
    <row r="1186" spans="2:12">
      <c r="B1186" t="s">
        <v>1</v>
      </c>
      <c r="C1186" s="5" t="s">
        <v>93</v>
      </c>
      <c r="D1186" s="1" t="s">
        <v>94</v>
      </c>
      <c r="E1186">
        <v>110</v>
      </c>
      <c r="F1186">
        <v>2</v>
      </c>
      <c r="G1186" s="32">
        <v>3</v>
      </c>
      <c r="H1186">
        <v>0</v>
      </c>
      <c r="J1186" t="s">
        <v>52</v>
      </c>
      <c r="L1186" t="s">
        <v>28</v>
      </c>
    </row>
    <row r="1187" spans="2:12">
      <c r="B1187" t="s">
        <v>1</v>
      </c>
      <c r="C1187" s="5" t="s">
        <v>93</v>
      </c>
      <c r="D1187" s="1" t="s">
        <v>94</v>
      </c>
      <c r="E1187">
        <v>120</v>
      </c>
      <c r="F1187">
        <v>1</v>
      </c>
      <c r="G1187" s="32">
        <v>1</v>
      </c>
      <c r="H1187">
        <v>1</v>
      </c>
      <c r="J1187" t="s">
        <v>19</v>
      </c>
      <c r="K1187" t="s">
        <v>20</v>
      </c>
      <c r="L1187" t="s">
        <v>26</v>
      </c>
    </row>
    <row r="1188" spans="2:12">
      <c r="B1188" t="s">
        <v>1</v>
      </c>
      <c r="C1188" s="5" t="s">
        <v>93</v>
      </c>
      <c r="D1188" s="1" t="s">
        <v>94</v>
      </c>
      <c r="E1188">
        <v>120</v>
      </c>
      <c r="F1188">
        <v>2</v>
      </c>
      <c r="G1188" s="32">
        <v>2</v>
      </c>
      <c r="H1188">
        <v>1</v>
      </c>
      <c r="J1188" t="s">
        <v>52</v>
      </c>
      <c r="K1188" t="s">
        <v>33</v>
      </c>
      <c r="L1188" t="s">
        <v>28</v>
      </c>
    </row>
    <row r="1189" spans="2:12">
      <c r="B1189" t="s">
        <v>1</v>
      </c>
      <c r="C1189" s="5" t="s">
        <v>93</v>
      </c>
      <c r="D1189" s="1" t="s">
        <v>94</v>
      </c>
      <c r="E1189">
        <v>130</v>
      </c>
      <c r="F1189">
        <v>1</v>
      </c>
      <c r="G1189" s="32">
        <v>1</v>
      </c>
      <c r="H1189">
        <v>1</v>
      </c>
      <c r="J1189" t="s">
        <v>19</v>
      </c>
      <c r="K1189" t="s">
        <v>20</v>
      </c>
      <c r="L1189" t="s">
        <v>26</v>
      </c>
    </row>
    <row r="1190" spans="2:12">
      <c r="B1190" t="s">
        <v>1</v>
      </c>
      <c r="C1190" s="5" t="s">
        <v>93</v>
      </c>
      <c r="D1190" s="1" t="s">
        <v>94</v>
      </c>
      <c r="E1190">
        <v>130</v>
      </c>
      <c r="F1190">
        <v>2</v>
      </c>
      <c r="G1190" s="32">
        <v>1</v>
      </c>
      <c r="H1190">
        <v>1</v>
      </c>
      <c r="J1190" t="s">
        <v>52</v>
      </c>
      <c r="K1190" t="s">
        <v>37</v>
      </c>
      <c r="L1190" t="s">
        <v>28</v>
      </c>
    </row>
    <row r="1191" spans="2:12">
      <c r="D1191" t="s">
        <v>94</v>
      </c>
      <c r="E1191">
        <v>140</v>
      </c>
      <c r="F1191">
        <v>1</v>
      </c>
      <c r="H1191">
        <v>0</v>
      </c>
      <c r="J1191" t="s">
        <v>53</v>
      </c>
      <c r="L1191" t="s">
        <v>28</v>
      </c>
    </row>
    <row r="1192" spans="2:12">
      <c r="D1192" t="s">
        <v>94</v>
      </c>
      <c r="E1192">
        <v>140</v>
      </c>
      <c r="F1192">
        <v>2</v>
      </c>
      <c r="H1192">
        <v>1</v>
      </c>
      <c r="I1192" t="s">
        <v>70</v>
      </c>
      <c r="J1192" t="s">
        <v>19</v>
      </c>
      <c r="K1192" t="s">
        <v>20</v>
      </c>
      <c r="L1192" t="s">
        <v>26</v>
      </c>
    </row>
    <row r="1193" spans="2:12">
      <c r="D1193" t="s">
        <v>94</v>
      </c>
      <c r="E1193">
        <v>150</v>
      </c>
      <c r="F1193">
        <v>1</v>
      </c>
      <c r="H1193">
        <v>1</v>
      </c>
      <c r="J1193" t="s">
        <v>19</v>
      </c>
      <c r="K1193" t="s">
        <v>20</v>
      </c>
      <c r="L1193" t="s">
        <v>26</v>
      </c>
    </row>
    <row r="1194" spans="2:12">
      <c r="D1194" t="s">
        <v>94</v>
      </c>
      <c r="E1194">
        <v>150</v>
      </c>
      <c r="F1194">
        <v>2</v>
      </c>
      <c r="H1194">
        <v>1</v>
      </c>
      <c r="J1194" t="s">
        <v>53</v>
      </c>
      <c r="K1194" t="s">
        <v>31</v>
      </c>
      <c r="L1194" t="s">
        <v>28</v>
      </c>
    </row>
    <row r="1195" spans="2:12">
      <c r="D1195" t="s">
        <v>94</v>
      </c>
      <c r="E1195">
        <v>160</v>
      </c>
      <c r="F1195">
        <v>1</v>
      </c>
      <c r="H1195">
        <v>1</v>
      </c>
      <c r="J1195" t="s">
        <v>19</v>
      </c>
      <c r="K1195" t="s">
        <v>20</v>
      </c>
      <c r="L1195" t="s">
        <v>26</v>
      </c>
    </row>
    <row r="1196" spans="2:12">
      <c r="D1196" t="s">
        <v>94</v>
      </c>
      <c r="E1196">
        <v>160</v>
      </c>
      <c r="F1196">
        <v>2</v>
      </c>
      <c r="H1196">
        <v>1</v>
      </c>
      <c r="J1196" t="s">
        <v>53</v>
      </c>
      <c r="K1196" t="s">
        <v>31</v>
      </c>
      <c r="L1196" t="s">
        <v>28</v>
      </c>
    </row>
    <row r="1197" spans="2:12">
      <c r="D1197" t="s">
        <v>94</v>
      </c>
      <c r="E1197">
        <v>170</v>
      </c>
      <c r="F1197">
        <v>1</v>
      </c>
      <c r="H1197">
        <v>1</v>
      </c>
      <c r="J1197" t="s">
        <v>53</v>
      </c>
      <c r="K1197" t="s">
        <v>31</v>
      </c>
      <c r="L1197" t="s">
        <v>28</v>
      </c>
    </row>
    <row r="1198" spans="2:12">
      <c r="B1198" t="s">
        <v>1</v>
      </c>
      <c r="C1198" s="5" t="s">
        <v>93</v>
      </c>
      <c r="D1198" s="1" t="s">
        <v>94</v>
      </c>
      <c r="E1198">
        <v>180</v>
      </c>
      <c r="F1198">
        <v>1</v>
      </c>
      <c r="G1198" s="32">
        <v>1</v>
      </c>
      <c r="H1198">
        <v>1</v>
      </c>
      <c r="J1198" t="s">
        <v>19</v>
      </c>
      <c r="K1198" t="s">
        <v>20</v>
      </c>
      <c r="L1198" t="s">
        <v>26</v>
      </c>
    </row>
    <row r="1199" spans="2:12">
      <c r="B1199" t="s">
        <v>1</v>
      </c>
      <c r="C1199" s="5" t="s">
        <v>93</v>
      </c>
      <c r="D1199" s="1" t="s">
        <v>94</v>
      </c>
      <c r="E1199">
        <v>180</v>
      </c>
      <c r="F1199">
        <v>2</v>
      </c>
      <c r="G1199" s="32">
        <v>3</v>
      </c>
      <c r="H1199">
        <v>0</v>
      </c>
      <c r="J1199" t="s">
        <v>52</v>
      </c>
      <c r="L1199" t="s">
        <v>28</v>
      </c>
    </row>
    <row r="1200" spans="2:12">
      <c r="B1200" t="s">
        <v>1</v>
      </c>
      <c r="C1200" s="5" t="s">
        <v>93</v>
      </c>
      <c r="D1200" s="1" t="s">
        <v>94</v>
      </c>
      <c r="E1200">
        <v>190</v>
      </c>
      <c r="F1200">
        <v>1</v>
      </c>
      <c r="G1200" s="32">
        <v>1</v>
      </c>
      <c r="H1200">
        <v>1</v>
      </c>
      <c r="J1200" t="s">
        <v>19</v>
      </c>
      <c r="K1200" t="s">
        <v>20</v>
      </c>
      <c r="L1200" t="s">
        <v>26</v>
      </c>
    </row>
    <row r="1201" spans="2:12">
      <c r="B1201" t="s">
        <v>1</v>
      </c>
      <c r="C1201" s="5" t="s">
        <v>93</v>
      </c>
      <c r="D1201" s="1" t="s">
        <v>94</v>
      </c>
      <c r="E1201">
        <v>190</v>
      </c>
      <c r="F1201">
        <v>2</v>
      </c>
      <c r="G1201" s="32">
        <v>1</v>
      </c>
      <c r="H1201">
        <v>1</v>
      </c>
      <c r="J1201" t="s">
        <v>52</v>
      </c>
      <c r="K1201" t="s">
        <v>37</v>
      </c>
      <c r="L1201" t="s">
        <v>28</v>
      </c>
    </row>
    <row r="1202" spans="2:12">
      <c r="B1202" t="s">
        <v>1</v>
      </c>
      <c r="C1202" s="5" t="s">
        <v>93</v>
      </c>
      <c r="D1202" s="1" t="s">
        <v>94</v>
      </c>
      <c r="E1202">
        <v>200</v>
      </c>
      <c r="F1202">
        <v>1</v>
      </c>
      <c r="G1202" s="32">
        <v>1</v>
      </c>
      <c r="H1202">
        <v>1</v>
      </c>
      <c r="J1202" t="s">
        <v>52</v>
      </c>
      <c r="K1202" t="s">
        <v>33</v>
      </c>
      <c r="L1202" t="s">
        <v>28</v>
      </c>
    </row>
    <row r="1203" spans="2:12">
      <c r="B1203" t="s">
        <v>1</v>
      </c>
      <c r="C1203" s="5" t="s">
        <v>93</v>
      </c>
      <c r="D1203" s="1" t="s">
        <v>94</v>
      </c>
      <c r="E1203">
        <v>210</v>
      </c>
      <c r="F1203">
        <v>1</v>
      </c>
      <c r="G1203" s="32">
        <v>1</v>
      </c>
      <c r="H1203">
        <v>1</v>
      </c>
      <c r="J1203" t="s">
        <v>19</v>
      </c>
      <c r="K1203" t="s">
        <v>20</v>
      </c>
      <c r="L1203" t="s">
        <v>26</v>
      </c>
    </row>
    <row r="1204" spans="2:12">
      <c r="B1204" t="s">
        <v>1</v>
      </c>
      <c r="C1204" s="5" t="s">
        <v>93</v>
      </c>
      <c r="D1204" s="1" t="s">
        <v>94</v>
      </c>
      <c r="E1204">
        <v>210</v>
      </c>
      <c r="F1204">
        <v>2</v>
      </c>
      <c r="G1204" s="32">
        <v>0</v>
      </c>
      <c r="H1204">
        <v>0</v>
      </c>
      <c r="J1204" t="s">
        <v>52</v>
      </c>
      <c r="L1204" t="s">
        <v>28</v>
      </c>
    </row>
    <row r="1205" spans="2:12">
      <c r="B1205" t="s">
        <v>1</v>
      </c>
      <c r="C1205" s="5" t="s">
        <v>93</v>
      </c>
      <c r="D1205" s="1" t="s">
        <v>94</v>
      </c>
      <c r="E1205">
        <v>220</v>
      </c>
      <c r="F1205">
        <v>1</v>
      </c>
      <c r="G1205" s="32">
        <v>1</v>
      </c>
      <c r="H1205">
        <v>1</v>
      </c>
      <c r="J1205" t="s">
        <v>19</v>
      </c>
      <c r="K1205" t="s">
        <v>20</v>
      </c>
      <c r="L1205" t="s">
        <v>26</v>
      </c>
    </row>
    <row r="1206" spans="2:12">
      <c r="B1206" t="s">
        <v>1</v>
      </c>
      <c r="C1206" s="5" t="s">
        <v>93</v>
      </c>
      <c r="D1206" s="1" t="s">
        <v>94</v>
      </c>
      <c r="E1206">
        <v>220</v>
      </c>
      <c r="F1206">
        <v>2</v>
      </c>
      <c r="G1206" s="32">
        <v>0</v>
      </c>
      <c r="H1206">
        <v>0</v>
      </c>
      <c r="J1206" t="s">
        <v>52</v>
      </c>
      <c r="L1206" t="s">
        <v>28</v>
      </c>
    </row>
    <row r="1207" spans="2:12">
      <c r="B1207" t="s">
        <v>1</v>
      </c>
      <c r="C1207" s="5" t="s">
        <v>93</v>
      </c>
      <c r="D1207" s="1" t="s">
        <v>94</v>
      </c>
      <c r="E1207">
        <v>230</v>
      </c>
      <c r="F1207">
        <v>1</v>
      </c>
      <c r="G1207" s="32">
        <v>1</v>
      </c>
      <c r="H1207">
        <v>1</v>
      </c>
      <c r="J1207" t="s">
        <v>19</v>
      </c>
      <c r="K1207" t="s">
        <v>20</v>
      </c>
      <c r="L1207" t="s">
        <v>26</v>
      </c>
    </row>
    <row r="1208" spans="2:12">
      <c r="B1208" t="s">
        <v>1</v>
      </c>
      <c r="C1208" s="5" t="s">
        <v>93</v>
      </c>
      <c r="D1208" s="1" t="s">
        <v>94</v>
      </c>
      <c r="E1208">
        <v>230</v>
      </c>
      <c r="F1208">
        <v>2</v>
      </c>
      <c r="G1208" s="32">
        <v>2</v>
      </c>
      <c r="H1208">
        <v>1</v>
      </c>
      <c r="J1208" t="s">
        <v>52</v>
      </c>
      <c r="K1208" t="s">
        <v>33</v>
      </c>
      <c r="L1208" t="s">
        <v>28</v>
      </c>
    </row>
    <row r="1209" spans="2:12">
      <c r="B1209" t="s">
        <v>1</v>
      </c>
      <c r="C1209" s="5" t="s">
        <v>93</v>
      </c>
      <c r="D1209" s="1" t="s">
        <v>94</v>
      </c>
      <c r="E1209">
        <v>240</v>
      </c>
      <c r="F1209">
        <v>1</v>
      </c>
      <c r="G1209" s="32">
        <v>1</v>
      </c>
      <c r="H1209">
        <v>1</v>
      </c>
      <c r="J1209" t="s">
        <v>19</v>
      </c>
      <c r="K1209" t="s">
        <v>20</v>
      </c>
      <c r="L1209" t="s">
        <v>26</v>
      </c>
    </row>
    <row r="1210" spans="2:12">
      <c r="B1210" t="s">
        <v>1</v>
      </c>
      <c r="C1210" s="5" t="s">
        <v>93</v>
      </c>
      <c r="D1210" s="1" t="s">
        <v>94</v>
      </c>
      <c r="E1210">
        <v>240</v>
      </c>
      <c r="F1210">
        <v>2</v>
      </c>
      <c r="G1210" s="32">
        <v>2</v>
      </c>
      <c r="H1210">
        <v>1</v>
      </c>
      <c r="J1210" t="s">
        <v>52</v>
      </c>
      <c r="K1210" t="s">
        <v>37</v>
      </c>
      <c r="L1210" t="s">
        <v>28</v>
      </c>
    </row>
    <row r="1211" spans="2:12">
      <c r="D1211" t="s">
        <v>94</v>
      </c>
      <c r="E1211">
        <v>250</v>
      </c>
      <c r="I1211" t="s">
        <v>95</v>
      </c>
    </row>
    <row r="1212" spans="2:12">
      <c r="B1212" t="s">
        <v>1</v>
      </c>
      <c r="C1212" s="5" t="s">
        <v>93</v>
      </c>
      <c r="D1212" s="1" t="s">
        <v>94</v>
      </c>
      <c r="E1212">
        <v>260</v>
      </c>
      <c r="F1212">
        <v>1</v>
      </c>
      <c r="G1212" s="32">
        <v>1</v>
      </c>
      <c r="H1212">
        <v>1</v>
      </c>
      <c r="J1212" t="s">
        <v>19</v>
      </c>
      <c r="K1212" t="s">
        <v>20</v>
      </c>
      <c r="L1212" t="s">
        <v>26</v>
      </c>
    </row>
    <row r="1213" spans="2:12">
      <c r="B1213" t="s">
        <v>1</v>
      </c>
      <c r="C1213" s="5" t="s">
        <v>93</v>
      </c>
      <c r="D1213" s="1" t="s">
        <v>94</v>
      </c>
      <c r="E1213">
        <v>260</v>
      </c>
      <c r="F1213">
        <v>2</v>
      </c>
      <c r="G1213" s="32">
        <v>1</v>
      </c>
      <c r="H1213">
        <v>1</v>
      </c>
      <c r="J1213" t="s">
        <v>42</v>
      </c>
      <c r="K1213" t="s">
        <v>20</v>
      </c>
      <c r="L1213" t="s">
        <v>26</v>
      </c>
    </row>
    <row r="1214" spans="2:12">
      <c r="B1214" t="s">
        <v>1</v>
      </c>
      <c r="C1214" s="5" t="s">
        <v>93</v>
      </c>
      <c r="D1214" s="1" t="s">
        <v>94</v>
      </c>
      <c r="E1214">
        <v>260</v>
      </c>
      <c r="F1214">
        <v>3</v>
      </c>
      <c r="G1214" s="32">
        <v>1</v>
      </c>
      <c r="H1214">
        <v>1</v>
      </c>
      <c r="J1214" t="s">
        <v>52</v>
      </c>
      <c r="K1214" t="s">
        <v>37</v>
      </c>
      <c r="L1214" t="s">
        <v>28</v>
      </c>
    </row>
    <row r="1215" spans="2:12">
      <c r="B1215" t="s">
        <v>1</v>
      </c>
      <c r="C1215" s="5" t="s">
        <v>93</v>
      </c>
      <c r="D1215" s="1" t="s">
        <v>94</v>
      </c>
      <c r="E1215">
        <v>270</v>
      </c>
      <c r="F1215">
        <v>1</v>
      </c>
      <c r="G1215" s="32">
        <v>1</v>
      </c>
      <c r="H1215">
        <v>1</v>
      </c>
      <c r="J1215" t="s">
        <v>19</v>
      </c>
      <c r="K1215" t="s">
        <v>20</v>
      </c>
      <c r="L1215" t="s">
        <v>26</v>
      </c>
    </row>
    <row r="1216" spans="2:12">
      <c r="B1216" t="s">
        <v>1</v>
      </c>
      <c r="C1216" s="5" t="s">
        <v>93</v>
      </c>
      <c r="D1216" s="1" t="s">
        <v>94</v>
      </c>
      <c r="E1216">
        <v>270</v>
      </c>
      <c r="F1216">
        <v>2</v>
      </c>
      <c r="G1216" s="32">
        <v>1</v>
      </c>
      <c r="H1216">
        <v>1</v>
      </c>
      <c r="J1216" t="s">
        <v>52</v>
      </c>
      <c r="K1216" t="s">
        <v>33</v>
      </c>
      <c r="L1216" t="s">
        <v>28</v>
      </c>
    </row>
    <row r="1217" spans="2:12">
      <c r="B1217" t="s">
        <v>1</v>
      </c>
      <c r="C1217" s="5" t="s">
        <v>93</v>
      </c>
      <c r="D1217" s="1" t="s">
        <v>94</v>
      </c>
      <c r="E1217">
        <v>280</v>
      </c>
      <c r="F1217">
        <v>1</v>
      </c>
      <c r="G1217" s="32">
        <v>1</v>
      </c>
      <c r="H1217">
        <v>1</v>
      </c>
      <c r="J1217" t="s">
        <v>19</v>
      </c>
      <c r="K1217" t="s">
        <v>20</v>
      </c>
      <c r="L1217" t="s">
        <v>26</v>
      </c>
    </row>
    <row r="1218" spans="2:12">
      <c r="B1218" t="s">
        <v>1</v>
      </c>
      <c r="C1218" s="5" t="s">
        <v>93</v>
      </c>
      <c r="D1218" s="1" t="s">
        <v>94</v>
      </c>
      <c r="E1218">
        <v>280</v>
      </c>
      <c r="F1218">
        <v>2</v>
      </c>
      <c r="G1218" s="32">
        <v>2</v>
      </c>
      <c r="H1218">
        <v>1</v>
      </c>
      <c r="J1218" t="s">
        <v>52</v>
      </c>
      <c r="K1218" t="s">
        <v>33</v>
      </c>
      <c r="L1218" t="s">
        <v>28</v>
      </c>
    </row>
    <row r="1219" spans="2:12">
      <c r="B1219" t="s">
        <v>1</v>
      </c>
      <c r="C1219" s="5" t="s">
        <v>93</v>
      </c>
      <c r="D1219" s="1" t="s">
        <v>94</v>
      </c>
      <c r="E1219">
        <v>290</v>
      </c>
      <c r="F1219">
        <v>1</v>
      </c>
      <c r="G1219" s="32">
        <v>1</v>
      </c>
      <c r="H1219">
        <v>1</v>
      </c>
      <c r="J1219" t="s">
        <v>19</v>
      </c>
      <c r="K1219" t="s">
        <v>20</v>
      </c>
      <c r="L1219" t="s">
        <v>26</v>
      </c>
    </row>
    <row r="1220" spans="2:12">
      <c r="B1220" t="s">
        <v>1</v>
      </c>
      <c r="C1220" s="5" t="s">
        <v>93</v>
      </c>
      <c r="D1220" s="1" t="s">
        <v>94</v>
      </c>
      <c r="E1220">
        <v>290</v>
      </c>
      <c r="F1220">
        <v>2</v>
      </c>
      <c r="G1220" s="32">
        <v>0</v>
      </c>
      <c r="H1220">
        <v>0</v>
      </c>
      <c r="J1220" t="s">
        <v>52</v>
      </c>
      <c r="L1220" t="s">
        <v>28</v>
      </c>
    </row>
    <row r="1221" spans="2:12">
      <c r="B1221" t="s">
        <v>1</v>
      </c>
      <c r="C1221" s="5" t="s">
        <v>93</v>
      </c>
      <c r="D1221" s="1" t="s">
        <v>94</v>
      </c>
      <c r="E1221">
        <v>300</v>
      </c>
      <c r="F1221">
        <v>1</v>
      </c>
      <c r="G1221" s="32">
        <v>2</v>
      </c>
      <c r="H1221">
        <v>1</v>
      </c>
      <c r="J1221" t="s">
        <v>19</v>
      </c>
      <c r="K1221" t="s">
        <v>20</v>
      </c>
      <c r="L1221" t="s">
        <v>26</v>
      </c>
    </row>
    <row r="1222" spans="2:12">
      <c r="B1222" t="s">
        <v>1</v>
      </c>
      <c r="C1222" s="5" t="s">
        <v>93</v>
      </c>
      <c r="D1222" s="1" t="s">
        <v>94</v>
      </c>
      <c r="E1222">
        <v>300</v>
      </c>
      <c r="F1222">
        <v>2</v>
      </c>
      <c r="G1222" s="32">
        <v>1</v>
      </c>
      <c r="H1222">
        <v>1</v>
      </c>
      <c r="J1222" t="s">
        <v>52</v>
      </c>
      <c r="K1222" t="s">
        <v>33</v>
      </c>
      <c r="L1222" t="s">
        <v>28</v>
      </c>
    </row>
    <row r="1223" spans="2:12">
      <c r="D1223" t="s">
        <v>94</v>
      </c>
      <c r="E1223">
        <v>310</v>
      </c>
      <c r="F1223">
        <v>1</v>
      </c>
      <c r="H1223">
        <v>1</v>
      </c>
      <c r="J1223" t="s">
        <v>19</v>
      </c>
      <c r="K1223" t="s">
        <v>20</v>
      </c>
      <c r="L1223" t="s">
        <v>26</v>
      </c>
    </row>
    <row r="1224" spans="2:12">
      <c r="D1224" t="s">
        <v>94</v>
      </c>
      <c r="E1224">
        <v>310</v>
      </c>
      <c r="F1224">
        <v>2</v>
      </c>
      <c r="H1224">
        <v>1</v>
      </c>
      <c r="J1224" t="s">
        <v>53</v>
      </c>
      <c r="K1224" t="s">
        <v>31</v>
      </c>
      <c r="L1224" t="s">
        <v>28</v>
      </c>
    </row>
    <row r="1225" spans="2:12">
      <c r="D1225" t="s">
        <v>94</v>
      </c>
      <c r="E1225">
        <v>320</v>
      </c>
      <c r="F1225">
        <v>1</v>
      </c>
      <c r="H1225">
        <v>0</v>
      </c>
      <c r="J1225" t="s">
        <v>53</v>
      </c>
      <c r="L1225" t="s">
        <v>28</v>
      </c>
    </row>
    <row r="1226" spans="2:12">
      <c r="D1226" t="s">
        <v>94</v>
      </c>
      <c r="E1226">
        <v>330</v>
      </c>
      <c r="F1226">
        <v>1</v>
      </c>
      <c r="H1226">
        <v>1</v>
      </c>
      <c r="J1226" t="s">
        <v>19</v>
      </c>
      <c r="K1226" t="s">
        <v>20</v>
      </c>
      <c r="L1226" t="s">
        <v>26</v>
      </c>
    </row>
    <row r="1227" spans="2:12">
      <c r="D1227" t="s">
        <v>94</v>
      </c>
      <c r="E1227">
        <v>330</v>
      </c>
      <c r="F1227">
        <v>2</v>
      </c>
      <c r="H1227">
        <v>1</v>
      </c>
      <c r="J1227" t="s">
        <v>53</v>
      </c>
      <c r="K1227" t="s">
        <v>31</v>
      </c>
      <c r="L1227" t="s">
        <v>28</v>
      </c>
    </row>
    <row r="1228" spans="2:12">
      <c r="D1228" s="34" t="s">
        <v>96</v>
      </c>
      <c r="E1228">
        <v>0</v>
      </c>
      <c r="F1228">
        <v>1</v>
      </c>
      <c r="H1228">
        <v>1</v>
      </c>
      <c r="J1228" t="s">
        <v>19</v>
      </c>
      <c r="K1228" t="s">
        <v>20</v>
      </c>
      <c r="L1228" t="s">
        <v>26</v>
      </c>
    </row>
    <row r="1229" spans="2:12">
      <c r="D1229" s="34" t="s">
        <v>96</v>
      </c>
      <c r="E1229">
        <v>0</v>
      </c>
      <c r="F1229">
        <v>2</v>
      </c>
      <c r="H1229">
        <v>1</v>
      </c>
      <c r="J1229" t="s">
        <v>53</v>
      </c>
      <c r="K1229" t="s">
        <v>31</v>
      </c>
      <c r="L1229" t="s">
        <v>28</v>
      </c>
    </row>
    <row r="1230" spans="2:12">
      <c r="B1230" t="s">
        <v>1</v>
      </c>
      <c r="C1230" s="4" t="s">
        <v>93</v>
      </c>
      <c r="D1230" t="s">
        <v>96</v>
      </c>
      <c r="E1230" s="7">
        <v>10</v>
      </c>
      <c r="F1230">
        <v>1</v>
      </c>
      <c r="G1230" s="32">
        <v>3</v>
      </c>
      <c r="H1230" s="7">
        <v>0</v>
      </c>
      <c r="I1230" s="7"/>
      <c r="J1230" s="12" t="s">
        <v>46</v>
      </c>
    </row>
    <row r="1231" spans="2:12">
      <c r="B1231" t="s">
        <v>1</v>
      </c>
      <c r="C1231" s="4" t="s">
        <v>93</v>
      </c>
      <c r="D1231" t="s">
        <v>96</v>
      </c>
      <c r="E1231" s="7">
        <v>10</v>
      </c>
      <c r="F1231">
        <v>2</v>
      </c>
      <c r="G1231" s="32">
        <v>2</v>
      </c>
      <c r="H1231" s="7">
        <v>1</v>
      </c>
      <c r="I1231" s="7"/>
      <c r="J1231" t="s">
        <v>52</v>
      </c>
      <c r="K1231" t="s">
        <v>33</v>
      </c>
      <c r="L1231" t="s">
        <v>28</v>
      </c>
    </row>
    <row r="1232" spans="2:12">
      <c r="D1232" s="34" t="s">
        <v>96</v>
      </c>
      <c r="E1232">
        <v>20</v>
      </c>
      <c r="F1232">
        <v>1</v>
      </c>
      <c r="H1232">
        <v>1</v>
      </c>
      <c r="J1232" t="s">
        <v>19</v>
      </c>
      <c r="K1232" t="s">
        <v>20</v>
      </c>
      <c r="L1232" t="s">
        <v>26</v>
      </c>
    </row>
    <row r="1233" spans="2:12">
      <c r="D1233" s="34" t="s">
        <v>96</v>
      </c>
      <c r="E1233">
        <v>20</v>
      </c>
      <c r="F1233">
        <v>2</v>
      </c>
      <c r="H1233">
        <v>1</v>
      </c>
      <c r="J1233" t="s">
        <v>53</v>
      </c>
      <c r="K1233" t="s">
        <v>31</v>
      </c>
      <c r="L1233" t="s">
        <v>28</v>
      </c>
    </row>
    <row r="1234" spans="2:12">
      <c r="B1234" t="s">
        <v>1</v>
      </c>
      <c r="C1234" s="4" t="s">
        <v>93</v>
      </c>
      <c r="D1234" t="s">
        <v>96</v>
      </c>
      <c r="E1234" s="7">
        <v>30</v>
      </c>
      <c r="F1234">
        <v>1</v>
      </c>
      <c r="G1234" s="33">
        <v>1</v>
      </c>
      <c r="H1234" s="7">
        <v>1</v>
      </c>
      <c r="I1234" s="7"/>
      <c r="J1234" t="s">
        <v>19</v>
      </c>
      <c r="K1234" t="s">
        <v>20</v>
      </c>
      <c r="L1234" t="s">
        <v>26</v>
      </c>
    </row>
    <row r="1235" spans="2:12">
      <c r="B1235" t="s">
        <v>1</v>
      </c>
      <c r="C1235" s="4" t="s">
        <v>93</v>
      </c>
      <c r="D1235" t="s">
        <v>96</v>
      </c>
      <c r="E1235" s="7">
        <v>30</v>
      </c>
      <c r="F1235">
        <v>2</v>
      </c>
      <c r="G1235" s="33">
        <v>2</v>
      </c>
      <c r="H1235" s="7">
        <v>1</v>
      </c>
      <c r="I1235" s="7"/>
      <c r="J1235" t="s">
        <v>52</v>
      </c>
      <c r="K1235" t="s">
        <v>33</v>
      </c>
      <c r="L1235" t="s">
        <v>28</v>
      </c>
    </row>
    <row r="1236" spans="2:12">
      <c r="D1236" s="34" t="s">
        <v>96</v>
      </c>
      <c r="E1236">
        <v>40</v>
      </c>
      <c r="F1236">
        <v>1</v>
      </c>
      <c r="H1236">
        <v>1</v>
      </c>
      <c r="J1236" t="s">
        <v>19</v>
      </c>
      <c r="K1236" t="s">
        <v>20</v>
      </c>
      <c r="L1236" t="s">
        <v>26</v>
      </c>
    </row>
    <row r="1237" spans="2:12">
      <c r="D1237" s="34" t="s">
        <v>96</v>
      </c>
      <c r="E1237">
        <v>40</v>
      </c>
      <c r="F1237">
        <v>2</v>
      </c>
      <c r="H1237">
        <v>1</v>
      </c>
      <c r="J1237" t="s">
        <v>53</v>
      </c>
      <c r="K1237" t="s">
        <v>34</v>
      </c>
      <c r="L1237" t="s">
        <v>28</v>
      </c>
    </row>
    <row r="1238" spans="2:12">
      <c r="D1238" s="34" t="s">
        <v>96</v>
      </c>
      <c r="E1238">
        <v>50</v>
      </c>
      <c r="F1238">
        <v>1</v>
      </c>
      <c r="H1238">
        <v>1</v>
      </c>
      <c r="J1238" t="s">
        <v>19</v>
      </c>
      <c r="K1238" t="s">
        <v>20</v>
      </c>
      <c r="L1238" t="s">
        <v>26</v>
      </c>
    </row>
    <row r="1239" spans="2:12">
      <c r="D1239" s="34" t="s">
        <v>96</v>
      </c>
      <c r="E1239">
        <v>50</v>
      </c>
      <c r="F1239">
        <v>2</v>
      </c>
      <c r="H1239">
        <v>0</v>
      </c>
      <c r="J1239" t="s">
        <v>53</v>
      </c>
      <c r="L1239" t="s">
        <v>28</v>
      </c>
    </row>
    <row r="1240" spans="2:12">
      <c r="B1240" t="s">
        <v>1</v>
      </c>
      <c r="C1240" s="4" t="s">
        <v>93</v>
      </c>
      <c r="D1240" t="s">
        <v>96</v>
      </c>
      <c r="E1240" s="7">
        <v>60</v>
      </c>
      <c r="F1240">
        <v>1</v>
      </c>
      <c r="G1240" s="33">
        <v>1</v>
      </c>
      <c r="H1240" s="7">
        <v>1</v>
      </c>
      <c r="I1240" s="7"/>
      <c r="J1240" t="s">
        <v>52</v>
      </c>
      <c r="K1240" t="s">
        <v>33</v>
      </c>
      <c r="L1240" t="s">
        <v>28</v>
      </c>
    </row>
    <row r="1241" spans="2:12">
      <c r="B1241" t="s">
        <v>1</v>
      </c>
      <c r="C1241" s="4" t="s">
        <v>93</v>
      </c>
      <c r="D1241" t="s">
        <v>96</v>
      </c>
      <c r="E1241" s="7">
        <v>60</v>
      </c>
      <c r="F1241">
        <v>2</v>
      </c>
      <c r="G1241" s="33">
        <v>2</v>
      </c>
      <c r="H1241" s="7">
        <v>1</v>
      </c>
      <c r="I1241" s="7"/>
      <c r="J1241" t="s">
        <v>19</v>
      </c>
      <c r="K1241" t="s">
        <v>20</v>
      </c>
      <c r="L1241" t="s">
        <v>26</v>
      </c>
    </row>
    <row r="1242" spans="2:12">
      <c r="D1242" s="34" t="s">
        <v>96</v>
      </c>
      <c r="E1242">
        <v>70</v>
      </c>
      <c r="F1242">
        <v>1</v>
      </c>
      <c r="H1242">
        <v>1</v>
      </c>
      <c r="J1242" t="s">
        <v>53</v>
      </c>
      <c r="K1242" t="s">
        <v>34</v>
      </c>
      <c r="L1242" t="s">
        <v>28</v>
      </c>
    </row>
    <row r="1243" spans="2:12">
      <c r="B1243" t="s">
        <v>1</v>
      </c>
      <c r="C1243" s="4" t="s">
        <v>93</v>
      </c>
      <c r="D1243" t="s">
        <v>96</v>
      </c>
      <c r="E1243" s="7">
        <v>80</v>
      </c>
      <c r="F1243">
        <v>1</v>
      </c>
      <c r="G1243" s="33">
        <v>1</v>
      </c>
      <c r="H1243" s="7">
        <v>1</v>
      </c>
      <c r="I1243" s="7"/>
      <c r="J1243" t="s">
        <v>19</v>
      </c>
      <c r="K1243" t="s">
        <v>20</v>
      </c>
      <c r="L1243" t="s">
        <v>26</v>
      </c>
    </row>
    <row r="1244" spans="2:12">
      <c r="B1244" t="s">
        <v>1</v>
      </c>
      <c r="C1244" s="4" t="s">
        <v>93</v>
      </c>
      <c r="D1244" t="s">
        <v>96</v>
      </c>
      <c r="E1244" s="7">
        <v>80</v>
      </c>
      <c r="F1244">
        <v>2</v>
      </c>
      <c r="G1244" s="33">
        <v>0</v>
      </c>
      <c r="H1244" s="7">
        <v>0</v>
      </c>
      <c r="I1244" s="7"/>
      <c r="J1244" t="s">
        <v>52</v>
      </c>
      <c r="L1244" t="s">
        <v>28</v>
      </c>
    </row>
    <row r="1245" spans="2:12">
      <c r="B1245" t="s">
        <v>1</v>
      </c>
      <c r="C1245" s="4" t="s">
        <v>93</v>
      </c>
      <c r="D1245" t="s">
        <v>96</v>
      </c>
      <c r="E1245" s="7">
        <v>90</v>
      </c>
      <c r="F1245">
        <v>1</v>
      </c>
      <c r="G1245" s="33">
        <v>1</v>
      </c>
      <c r="H1245" s="7">
        <v>1</v>
      </c>
      <c r="I1245" s="7"/>
      <c r="J1245" t="s">
        <v>19</v>
      </c>
      <c r="K1245" t="s">
        <v>20</v>
      </c>
      <c r="L1245" t="s">
        <v>26</v>
      </c>
    </row>
    <row r="1246" spans="2:12">
      <c r="B1246" t="s">
        <v>1</v>
      </c>
      <c r="C1246" s="4" t="s">
        <v>93</v>
      </c>
      <c r="D1246" t="s">
        <v>96</v>
      </c>
      <c r="E1246" s="7">
        <v>90</v>
      </c>
      <c r="F1246">
        <v>2</v>
      </c>
      <c r="G1246" s="33">
        <v>2</v>
      </c>
      <c r="H1246" s="7">
        <v>1</v>
      </c>
      <c r="I1246" s="7"/>
      <c r="J1246" t="s">
        <v>52</v>
      </c>
      <c r="K1246" t="s">
        <v>33</v>
      </c>
      <c r="L1246" t="s">
        <v>28</v>
      </c>
    </row>
    <row r="1247" spans="2:12">
      <c r="B1247" t="s">
        <v>1</v>
      </c>
      <c r="C1247" s="4" t="s">
        <v>93</v>
      </c>
      <c r="D1247" t="s">
        <v>96</v>
      </c>
      <c r="E1247" s="7">
        <v>100</v>
      </c>
      <c r="F1247">
        <v>1</v>
      </c>
      <c r="G1247" s="33">
        <v>2</v>
      </c>
      <c r="H1247" s="7">
        <v>1</v>
      </c>
      <c r="I1247" s="7"/>
      <c r="J1247" t="s">
        <v>19</v>
      </c>
      <c r="K1247" t="s">
        <v>20</v>
      </c>
      <c r="L1247" t="s">
        <v>26</v>
      </c>
    </row>
    <row r="1248" spans="2:12">
      <c r="B1248" t="s">
        <v>1</v>
      </c>
      <c r="C1248" s="4" t="s">
        <v>93</v>
      </c>
      <c r="D1248" t="s">
        <v>96</v>
      </c>
      <c r="E1248" s="7">
        <v>100</v>
      </c>
      <c r="F1248">
        <v>2</v>
      </c>
      <c r="G1248" s="33">
        <v>2</v>
      </c>
      <c r="H1248" s="7">
        <v>1</v>
      </c>
      <c r="I1248" s="7"/>
      <c r="J1248" t="s">
        <v>52</v>
      </c>
      <c r="K1248" t="s">
        <v>37</v>
      </c>
      <c r="L1248" t="s">
        <v>28</v>
      </c>
    </row>
    <row r="1249" spans="2:12">
      <c r="B1249" t="s">
        <v>1</v>
      </c>
      <c r="C1249" s="4" t="s">
        <v>93</v>
      </c>
      <c r="D1249" t="s">
        <v>96</v>
      </c>
      <c r="E1249" s="7">
        <v>100</v>
      </c>
      <c r="F1249">
        <v>3</v>
      </c>
      <c r="G1249" s="33">
        <v>3</v>
      </c>
      <c r="H1249" s="7">
        <v>0</v>
      </c>
      <c r="I1249" s="7"/>
      <c r="J1249" s="12" t="s">
        <v>46</v>
      </c>
    </row>
    <row r="1250" spans="2:12">
      <c r="B1250" t="s">
        <v>1</v>
      </c>
      <c r="C1250" s="4" t="s">
        <v>93</v>
      </c>
      <c r="D1250" t="s">
        <v>96</v>
      </c>
      <c r="E1250" s="7">
        <v>110</v>
      </c>
      <c r="F1250">
        <v>1</v>
      </c>
      <c r="G1250" s="33">
        <v>1</v>
      </c>
      <c r="H1250" s="7">
        <v>1</v>
      </c>
      <c r="I1250" s="7"/>
      <c r="J1250" t="s">
        <v>19</v>
      </c>
      <c r="K1250" t="s">
        <v>20</v>
      </c>
      <c r="L1250" t="s">
        <v>26</v>
      </c>
    </row>
    <row r="1251" spans="2:12">
      <c r="B1251" t="s">
        <v>1</v>
      </c>
      <c r="C1251" s="4" t="s">
        <v>93</v>
      </c>
      <c r="D1251" t="s">
        <v>96</v>
      </c>
      <c r="E1251" s="7">
        <v>110</v>
      </c>
      <c r="F1251">
        <v>2</v>
      </c>
      <c r="G1251" s="33">
        <v>0</v>
      </c>
      <c r="H1251" s="7">
        <v>0</v>
      </c>
      <c r="I1251" s="7"/>
      <c r="J1251" t="s">
        <v>52</v>
      </c>
      <c r="L1251" t="s">
        <v>28</v>
      </c>
    </row>
    <row r="1252" spans="2:12">
      <c r="B1252" t="s">
        <v>1</v>
      </c>
      <c r="C1252" s="4" t="s">
        <v>93</v>
      </c>
      <c r="D1252" t="s">
        <v>96</v>
      </c>
      <c r="E1252" s="7">
        <v>120</v>
      </c>
      <c r="F1252">
        <v>1</v>
      </c>
      <c r="G1252" s="33">
        <v>1</v>
      </c>
      <c r="H1252" s="7">
        <v>1</v>
      </c>
      <c r="I1252" s="7"/>
      <c r="J1252" t="s">
        <v>19</v>
      </c>
      <c r="K1252" t="s">
        <v>20</v>
      </c>
      <c r="L1252" t="s">
        <v>26</v>
      </c>
    </row>
    <row r="1253" spans="2:12">
      <c r="B1253" t="s">
        <v>1</v>
      </c>
      <c r="C1253" s="4" t="s">
        <v>93</v>
      </c>
      <c r="D1253" t="s">
        <v>96</v>
      </c>
      <c r="E1253" s="7">
        <v>120</v>
      </c>
      <c r="F1253">
        <v>2</v>
      </c>
      <c r="G1253" s="33">
        <v>1</v>
      </c>
      <c r="H1253" s="7">
        <v>1</v>
      </c>
      <c r="I1253" s="7"/>
      <c r="J1253" t="s">
        <v>52</v>
      </c>
      <c r="K1253" t="s">
        <v>33</v>
      </c>
      <c r="L1253" t="s">
        <v>28</v>
      </c>
    </row>
    <row r="1254" spans="2:12">
      <c r="B1254" t="s">
        <v>1</v>
      </c>
      <c r="C1254" s="4" t="s">
        <v>93</v>
      </c>
      <c r="D1254" t="s">
        <v>96</v>
      </c>
      <c r="E1254" s="7">
        <v>130</v>
      </c>
      <c r="F1254">
        <v>1</v>
      </c>
      <c r="G1254" s="33">
        <v>1</v>
      </c>
      <c r="H1254" s="7">
        <v>1</v>
      </c>
      <c r="I1254" s="7"/>
      <c r="J1254" t="s">
        <v>19</v>
      </c>
      <c r="K1254" t="s">
        <v>20</v>
      </c>
      <c r="L1254" t="s">
        <v>26</v>
      </c>
    </row>
    <row r="1255" spans="2:12">
      <c r="B1255" t="s">
        <v>1</v>
      </c>
      <c r="C1255" s="4" t="s">
        <v>93</v>
      </c>
      <c r="D1255" t="s">
        <v>96</v>
      </c>
      <c r="E1255" s="7">
        <v>130</v>
      </c>
      <c r="F1255">
        <v>2</v>
      </c>
      <c r="G1255" s="33">
        <v>2</v>
      </c>
      <c r="H1255" s="7">
        <v>1</v>
      </c>
      <c r="I1255" s="7"/>
      <c r="J1255" t="s">
        <v>52</v>
      </c>
      <c r="K1255" t="s">
        <v>33</v>
      </c>
      <c r="L1255" t="s">
        <v>28</v>
      </c>
    </row>
    <row r="1256" spans="2:12">
      <c r="D1256" s="34" t="s">
        <v>96</v>
      </c>
      <c r="E1256">
        <v>140</v>
      </c>
      <c r="F1256">
        <v>1</v>
      </c>
      <c r="H1256">
        <v>1</v>
      </c>
      <c r="J1256" t="s">
        <v>53</v>
      </c>
      <c r="K1256" t="s">
        <v>34</v>
      </c>
      <c r="L1256" t="s">
        <v>28</v>
      </c>
    </row>
    <row r="1257" spans="2:12">
      <c r="B1257" t="s">
        <v>1</v>
      </c>
      <c r="C1257" s="4" t="s">
        <v>93</v>
      </c>
      <c r="D1257" t="s">
        <v>96</v>
      </c>
      <c r="E1257" s="7">
        <v>150</v>
      </c>
      <c r="F1257">
        <v>1</v>
      </c>
      <c r="G1257" s="33">
        <v>1</v>
      </c>
      <c r="H1257" s="7">
        <v>1</v>
      </c>
      <c r="I1257" s="7"/>
      <c r="J1257" t="s">
        <v>19</v>
      </c>
      <c r="K1257" t="s">
        <v>20</v>
      </c>
      <c r="L1257" t="s">
        <v>26</v>
      </c>
    </row>
    <row r="1258" spans="2:12">
      <c r="B1258" t="s">
        <v>1</v>
      </c>
      <c r="C1258" s="4" t="s">
        <v>93</v>
      </c>
      <c r="D1258" t="s">
        <v>96</v>
      </c>
      <c r="E1258" s="7">
        <v>150</v>
      </c>
      <c r="F1258">
        <v>2</v>
      </c>
      <c r="G1258" s="33">
        <v>1</v>
      </c>
      <c r="H1258" s="7">
        <v>1</v>
      </c>
      <c r="I1258" s="7"/>
      <c r="J1258" t="s">
        <v>52</v>
      </c>
      <c r="K1258" t="s">
        <v>37</v>
      </c>
      <c r="L1258" t="s">
        <v>28</v>
      </c>
    </row>
    <row r="1259" spans="2:12">
      <c r="B1259" t="s">
        <v>1</v>
      </c>
      <c r="C1259" s="4" t="s">
        <v>93</v>
      </c>
      <c r="D1259" t="s">
        <v>96</v>
      </c>
      <c r="E1259" s="7">
        <v>160</v>
      </c>
      <c r="F1259">
        <v>1</v>
      </c>
      <c r="G1259" s="33">
        <v>1</v>
      </c>
      <c r="H1259" s="7">
        <v>1</v>
      </c>
      <c r="I1259" s="7"/>
      <c r="J1259" t="s">
        <v>19</v>
      </c>
      <c r="K1259" t="s">
        <v>20</v>
      </c>
      <c r="L1259" t="s">
        <v>26</v>
      </c>
    </row>
    <row r="1260" spans="2:12">
      <c r="B1260" t="s">
        <v>1</v>
      </c>
      <c r="C1260" s="4" t="s">
        <v>93</v>
      </c>
      <c r="D1260" t="s">
        <v>96</v>
      </c>
      <c r="E1260" s="7">
        <v>160</v>
      </c>
      <c r="F1260">
        <v>2</v>
      </c>
      <c r="G1260" s="33">
        <v>2</v>
      </c>
      <c r="H1260" s="7">
        <v>1</v>
      </c>
      <c r="I1260" s="7"/>
      <c r="J1260" t="s">
        <v>52</v>
      </c>
      <c r="K1260" t="s">
        <v>33</v>
      </c>
      <c r="L1260" t="s">
        <v>28</v>
      </c>
    </row>
    <row r="1261" spans="2:12">
      <c r="B1261" t="s">
        <v>1</v>
      </c>
      <c r="C1261" s="4" t="s">
        <v>93</v>
      </c>
      <c r="D1261" t="s">
        <v>96</v>
      </c>
      <c r="E1261" s="7">
        <v>170</v>
      </c>
      <c r="F1261">
        <v>1</v>
      </c>
      <c r="G1261" s="33">
        <v>1</v>
      </c>
      <c r="H1261" s="7">
        <v>1</v>
      </c>
      <c r="I1261" s="7"/>
      <c r="J1261" t="s">
        <v>19</v>
      </c>
      <c r="K1261" t="s">
        <v>20</v>
      </c>
      <c r="L1261" t="s">
        <v>26</v>
      </c>
    </row>
    <row r="1262" spans="2:12">
      <c r="B1262" t="s">
        <v>1</v>
      </c>
      <c r="C1262" s="4" t="s">
        <v>93</v>
      </c>
      <c r="D1262" t="s">
        <v>96</v>
      </c>
      <c r="E1262" s="7">
        <v>170</v>
      </c>
      <c r="F1262">
        <v>2</v>
      </c>
      <c r="G1262" s="33">
        <v>0</v>
      </c>
      <c r="H1262" s="7">
        <v>0</v>
      </c>
      <c r="I1262" s="7"/>
      <c r="J1262" t="s">
        <v>52</v>
      </c>
      <c r="L1262" t="s">
        <v>28</v>
      </c>
    </row>
    <row r="1263" spans="2:12">
      <c r="B1263" t="s">
        <v>1</v>
      </c>
      <c r="C1263" s="4" t="s">
        <v>93</v>
      </c>
      <c r="D1263" t="s">
        <v>96</v>
      </c>
      <c r="E1263" s="7">
        <v>180</v>
      </c>
      <c r="F1263">
        <v>1</v>
      </c>
      <c r="G1263" s="33">
        <v>1</v>
      </c>
      <c r="H1263" s="7">
        <v>1</v>
      </c>
      <c r="I1263" s="7"/>
      <c r="J1263" t="s">
        <v>19</v>
      </c>
      <c r="K1263" t="s">
        <v>20</v>
      </c>
      <c r="L1263" t="s">
        <v>26</v>
      </c>
    </row>
    <row r="1264" spans="2:12">
      <c r="B1264" t="s">
        <v>1</v>
      </c>
      <c r="C1264" s="4" t="s">
        <v>93</v>
      </c>
      <c r="D1264" t="s">
        <v>96</v>
      </c>
      <c r="E1264" s="7">
        <v>180</v>
      </c>
      <c r="F1264">
        <v>2</v>
      </c>
      <c r="G1264" s="33">
        <v>2</v>
      </c>
      <c r="H1264" s="7">
        <v>1</v>
      </c>
      <c r="I1264" s="7"/>
      <c r="J1264" t="s">
        <v>52</v>
      </c>
      <c r="K1264" t="s">
        <v>33</v>
      </c>
      <c r="L1264" t="s">
        <v>28</v>
      </c>
    </row>
    <row r="1265" spans="2:12">
      <c r="B1265" t="s">
        <v>1</v>
      </c>
      <c r="C1265" s="4" t="s">
        <v>93</v>
      </c>
      <c r="D1265" t="s">
        <v>96</v>
      </c>
      <c r="E1265" s="7">
        <v>190</v>
      </c>
      <c r="F1265">
        <v>1</v>
      </c>
      <c r="G1265" s="33">
        <v>1</v>
      </c>
      <c r="H1265" s="7">
        <v>1</v>
      </c>
      <c r="I1265" s="7"/>
      <c r="J1265" t="s">
        <v>19</v>
      </c>
      <c r="K1265" t="s">
        <v>20</v>
      </c>
      <c r="L1265" t="s">
        <v>26</v>
      </c>
    </row>
    <row r="1266" spans="2:12">
      <c r="B1266" t="s">
        <v>1</v>
      </c>
      <c r="C1266" s="4" t="s">
        <v>93</v>
      </c>
      <c r="D1266" t="s">
        <v>96</v>
      </c>
      <c r="E1266" s="7">
        <v>190</v>
      </c>
      <c r="F1266">
        <v>2</v>
      </c>
      <c r="G1266" s="33">
        <v>1</v>
      </c>
      <c r="H1266" s="7">
        <v>1</v>
      </c>
      <c r="I1266" s="7"/>
      <c r="J1266" t="s">
        <v>52</v>
      </c>
      <c r="K1266" t="s">
        <v>37</v>
      </c>
      <c r="L1266" t="s">
        <v>28</v>
      </c>
    </row>
    <row r="1267" spans="2:12">
      <c r="B1267" t="s">
        <v>1</v>
      </c>
      <c r="C1267" s="4" t="s">
        <v>93</v>
      </c>
      <c r="D1267" t="s">
        <v>96</v>
      </c>
      <c r="E1267" s="7">
        <v>190</v>
      </c>
      <c r="F1267">
        <v>3</v>
      </c>
      <c r="G1267" s="33">
        <v>3</v>
      </c>
      <c r="H1267" s="7">
        <v>0</v>
      </c>
      <c r="I1267" s="7"/>
      <c r="J1267" s="12" t="s">
        <v>46</v>
      </c>
    </row>
    <row r="1268" spans="2:12">
      <c r="B1268" t="s">
        <v>1</v>
      </c>
      <c r="C1268" s="4" t="s">
        <v>93</v>
      </c>
      <c r="D1268" t="s">
        <v>96</v>
      </c>
      <c r="E1268" s="7">
        <v>190</v>
      </c>
      <c r="F1268">
        <v>4</v>
      </c>
      <c r="G1268" s="33">
        <v>3</v>
      </c>
      <c r="H1268" s="7">
        <v>0</v>
      </c>
      <c r="I1268" s="7"/>
      <c r="J1268" s="12" t="s">
        <v>46</v>
      </c>
    </row>
    <row r="1269" spans="2:12">
      <c r="B1269" t="s">
        <v>1</v>
      </c>
      <c r="C1269" s="4" t="s">
        <v>93</v>
      </c>
      <c r="D1269" t="s">
        <v>96</v>
      </c>
      <c r="E1269" s="7">
        <v>200</v>
      </c>
      <c r="F1269">
        <v>1</v>
      </c>
      <c r="G1269" s="33">
        <v>1</v>
      </c>
      <c r="H1269" s="7">
        <v>1</v>
      </c>
      <c r="I1269" s="7"/>
      <c r="J1269" t="s">
        <v>19</v>
      </c>
      <c r="K1269" t="s">
        <v>20</v>
      </c>
      <c r="L1269" t="s">
        <v>26</v>
      </c>
    </row>
    <row r="1270" spans="2:12">
      <c r="B1270" t="s">
        <v>1</v>
      </c>
      <c r="C1270" s="4" t="s">
        <v>93</v>
      </c>
      <c r="D1270" t="s">
        <v>96</v>
      </c>
      <c r="E1270" s="7">
        <v>200</v>
      </c>
      <c r="F1270">
        <v>2</v>
      </c>
      <c r="G1270" s="33">
        <v>2</v>
      </c>
      <c r="H1270" s="7">
        <v>1</v>
      </c>
      <c r="I1270" s="7"/>
      <c r="J1270" t="s">
        <v>52</v>
      </c>
      <c r="K1270" t="s">
        <v>33</v>
      </c>
      <c r="L1270" t="s">
        <v>28</v>
      </c>
    </row>
    <row r="1271" spans="2:12">
      <c r="B1271" t="s">
        <v>1</v>
      </c>
      <c r="C1271" s="4" t="s">
        <v>93</v>
      </c>
      <c r="D1271" t="s">
        <v>96</v>
      </c>
      <c r="E1271" s="7">
        <v>210</v>
      </c>
      <c r="F1271">
        <v>1</v>
      </c>
      <c r="G1271" s="33">
        <v>1</v>
      </c>
      <c r="H1271" s="7">
        <v>1</v>
      </c>
      <c r="I1271" s="7"/>
      <c r="J1271" t="s">
        <v>19</v>
      </c>
      <c r="K1271" t="s">
        <v>20</v>
      </c>
      <c r="L1271" t="s">
        <v>26</v>
      </c>
    </row>
    <row r="1272" spans="2:12">
      <c r="B1272" t="s">
        <v>1</v>
      </c>
      <c r="C1272" s="4" t="s">
        <v>93</v>
      </c>
      <c r="D1272" t="s">
        <v>96</v>
      </c>
      <c r="E1272" s="7">
        <v>210</v>
      </c>
      <c r="F1272">
        <v>2</v>
      </c>
      <c r="G1272" s="33">
        <v>0</v>
      </c>
      <c r="H1272" s="7">
        <v>0</v>
      </c>
      <c r="I1272" s="7"/>
      <c r="J1272" t="s">
        <v>52</v>
      </c>
      <c r="L1272" t="s">
        <v>28</v>
      </c>
    </row>
    <row r="1273" spans="2:12">
      <c r="B1273" t="s">
        <v>1</v>
      </c>
      <c r="C1273" s="4" t="s">
        <v>93</v>
      </c>
      <c r="D1273" t="s">
        <v>96</v>
      </c>
      <c r="E1273" s="7">
        <v>220</v>
      </c>
      <c r="F1273">
        <v>1</v>
      </c>
      <c r="G1273" s="33">
        <v>1</v>
      </c>
      <c r="H1273" s="7">
        <v>1</v>
      </c>
      <c r="I1273" s="7"/>
      <c r="J1273" t="s">
        <v>19</v>
      </c>
      <c r="K1273" t="s">
        <v>20</v>
      </c>
      <c r="L1273" t="s">
        <v>26</v>
      </c>
    </row>
    <row r="1274" spans="2:12">
      <c r="B1274" t="s">
        <v>1</v>
      </c>
      <c r="C1274" s="4" t="s">
        <v>93</v>
      </c>
      <c r="D1274" t="s">
        <v>96</v>
      </c>
      <c r="E1274" s="7">
        <v>220</v>
      </c>
      <c r="F1274">
        <v>2</v>
      </c>
      <c r="G1274" s="33">
        <v>3</v>
      </c>
      <c r="H1274" s="7">
        <v>0</v>
      </c>
      <c r="I1274" s="7"/>
      <c r="J1274" s="12" t="s">
        <v>46</v>
      </c>
    </row>
    <row r="1275" spans="2:12">
      <c r="D1275" s="34" t="s">
        <v>96</v>
      </c>
      <c r="E1275">
        <v>230</v>
      </c>
      <c r="F1275">
        <v>1</v>
      </c>
      <c r="H1275">
        <v>1</v>
      </c>
      <c r="J1275" t="s">
        <v>53</v>
      </c>
      <c r="K1275" t="s">
        <v>31</v>
      </c>
      <c r="L1275" t="s">
        <v>28</v>
      </c>
    </row>
    <row r="1276" spans="2:12">
      <c r="D1276" s="34" t="s">
        <v>96</v>
      </c>
      <c r="E1276">
        <v>240</v>
      </c>
      <c r="F1276">
        <v>1</v>
      </c>
      <c r="H1276">
        <v>1</v>
      </c>
      <c r="J1276" t="s">
        <v>53</v>
      </c>
      <c r="K1276" t="s">
        <v>31</v>
      </c>
      <c r="L1276" t="s">
        <v>28</v>
      </c>
    </row>
    <row r="1277" spans="2:12">
      <c r="B1277" t="s">
        <v>1</v>
      </c>
      <c r="C1277" s="4" t="s">
        <v>93</v>
      </c>
      <c r="D1277" t="s">
        <v>96</v>
      </c>
      <c r="E1277" s="7">
        <v>250</v>
      </c>
      <c r="F1277">
        <v>1</v>
      </c>
      <c r="G1277" s="33">
        <v>1</v>
      </c>
      <c r="H1277" s="7">
        <v>1</v>
      </c>
      <c r="I1277" s="7"/>
      <c r="J1277" t="s">
        <v>19</v>
      </c>
      <c r="K1277" t="s">
        <v>20</v>
      </c>
      <c r="L1277" t="s">
        <v>26</v>
      </c>
    </row>
    <row r="1278" spans="2:12">
      <c r="B1278" t="s">
        <v>1</v>
      </c>
      <c r="C1278" s="4" t="s">
        <v>93</v>
      </c>
      <c r="D1278" t="s">
        <v>96</v>
      </c>
      <c r="E1278" s="7">
        <v>250</v>
      </c>
      <c r="F1278">
        <v>2</v>
      </c>
      <c r="G1278" s="33">
        <v>2</v>
      </c>
      <c r="H1278" s="7">
        <v>1</v>
      </c>
      <c r="I1278" s="7"/>
      <c r="J1278" t="s">
        <v>52</v>
      </c>
      <c r="K1278" t="s">
        <v>37</v>
      </c>
      <c r="L1278" t="s">
        <v>28</v>
      </c>
    </row>
    <row r="1279" spans="2:12">
      <c r="B1279" t="s">
        <v>1</v>
      </c>
      <c r="C1279" s="4" t="s">
        <v>93</v>
      </c>
      <c r="D1279" t="s">
        <v>96</v>
      </c>
      <c r="E1279" s="7">
        <v>260</v>
      </c>
      <c r="F1279">
        <v>1</v>
      </c>
      <c r="G1279" s="33">
        <v>1</v>
      </c>
      <c r="H1279" s="7">
        <v>1</v>
      </c>
      <c r="I1279" s="7"/>
      <c r="J1279" t="s">
        <v>19</v>
      </c>
      <c r="K1279" t="s">
        <v>20</v>
      </c>
      <c r="L1279" t="s">
        <v>26</v>
      </c>
    </row>
    <row r="1280" spans="2:12">
      <c r="B1280" t="s">
        <v>1</v>
      </c>
      <c r="C1280" s="4" t="s">
        <v>93</v>
      </c>
      <c r="D1280" t="s">
        <v>96</v>
      </c>
      <c r="E1280" s="7">
        <v>270</v>
      </c>
      <c r="F1280">
        <v>1</v>
      </c>
      <c r="G1280" s="33">
        <v>1</v>
      </c>
      <c r="H1280" s="7">
        <v>1</v>
      </c>
      <c r="I1280" s="7"/>
      <c r="J1280" t="s">
        <v>19</v>
      </c>
      <c r="K1280" t="s">
        <v>20</v>
      </c>
      <c r="L1280" t="s">
        <v>26</v>
      </c>
    </row>
    <row r="1281" spans="2:12">
      <c r="B1281" t="s">
        <v>1</v>
      </c>
      <c r="C1281" s="4" t="s">
        <v>93</v>
      </c>
      <c r="D1281" t="s">
        <v>96</v>
      </c>
      <c r="E1281" s="7">
        <v>280</v>
      </c>
      <c r="F1281">
        <v>1</v>
      </c>
      <c r="G1281" s="33">
        <v>1</v>
      </c>
      <c r="H1281" s="7">
        <v>1</v>
      </c>
      <c r="I1281" s="7"/>
      <c r="J1281" t="s">
        <v>19</v>
      </c>
      <c r="K1281" t="s">
        <v>20</v>
      </c>
      <c r="L1281" t="s">
        <v>26</v>
      </c>
    </row>
    <row r="1282" spans="2:12">
      <c r="B1282" t="s">
        <v>1</v>
      </c>
      <c r="C1282" s="4" t="s">
        <v>93</v>
      </c>
      <c r="D1282" t="s">
        <v>96</v>
      </c>
      <c r="E1282" s="7">
        <v>280</v>
      </c>
      <c r="F1282">
        <v>2</v>
      </c>
      <c r="G1282" s="33">
        <v>0</v>
      </c>
      <c r="H1282" s="7">
        <v>0</v>
      </c>
      <c r="I1282" s="7"/>
      <c r="J1282" t="s">
        <v>97</v>
      </c>
      <c r="L1282" t="s">
        <v>28</v>
      </c>
    </row>
    <row r="1283" spans="2:12">
      <c r="B1283" t="s">
        <v>1</v>
      </c>
      <c r="C1283" s="4" t="s">
        <v>93</v>
      </c>
      <c r="D1283" t="s">
        <v>96</v>
      </c>
      <c r="E1283" s="7">
        <v>290</v>
      </c>
      <c r="F1283">
        <v>1</v>
      </c>
      <c r="G1283" s="33">
        <v>1</v>
      </c>
      <c r="H1283" s="7">
        <v>1</v>
      </c>
      <c r="I1283" s="7"/>
      <c r="J1283" t="s">
        <v>19</v>
      </c>
      <c r="K1283" t="s">
        <v>20</v>
      </c>
      <c r="L1283" t="s">
        <v>26</v>
      </c>
    </row>
    <row r="1284" spans="2:12">
      <c r="B1284" t="s">
        <v>1</v>
      </c>
      <c r="C1284" s="4" t="s">
        <v>93</v>
      </c>
      <c r="D1284" t="s">
        <v>96</v>
      </c>
      <c r="E1284" s="7">
        <v>300</v>
      </c>
      <c r="F1284">
        <v>1</v>
      </c>
      <c r="G1284" s="33">
        <v>1</v>
      </c>
      <c r="H1284" s="7">
        <v>1</v>
      </c>
      <c r="I1284" s="7"/>
      <c r="J1284" t="s">
        <v>19</v>
      </c>
      <c r="K1284" t="s">
        <v>20</v>
      </c>
      <c r="L1284" t="s">
        <v>26</v>
      </c>
    </row>
    <row r="1285" spans="2:12">
      <c r="B1285" t="s">
        <v>1</v>
      </c>
      <c r="C1285" s="4" t="s">
        <v>93</v>
      </c>
      <c r="D1285" t="s">
        <v>96</v>
      </c>
      <c r="E1285" s="7">
        <v>300</v>
      </c>
      <c r="F1285">
        <v>2</v>
      </c>
      <c r="G1285" s="33">
        <v>2</v>
      </c>
      <c r="H1285" s="7">
        <v>1</v>
      </c>
      <c r="I1285" s="7"/>
      <c r="J1285" t="s">
        <v>97</v>
      </c>
      <c r="K1285" t="s">
        <v>97</v>
      </c>
      <c r="L1285" t="s">
        <v>28</v>
      </c>
    </row>
    <row r="1286" spans="2:12">
      <c r="B1286" t="s">
        <v>1</v>
      </c>
      <c r="C1286" s="4" t="s">
        <v>93</v>
      </c>
      <c r="D1286" t="s">
        <v>96</v>
      </c>
      <c r="E1286" s="7">
        <v>310</v>
      </c>
      <c r="F1286">
        <v>1</v>
      </c>
      <c r="G1286" s="33">
        <v>1</v>
      </c>
      <c r="H1286" s="7">
        <v>1</v>
      </c>
      <c r="I1286" s="7"/>
      <c r="J1286" t="s">
        <v>19</v>
      </c>
      <c r="K1286" t="s">
        <v>20</v>
      </c>
      <c r="L1286" t="s">
        <v>26</v>
      </c>
    </row>
    <row r="1287" spans="2:12">
      <c r="B1287" t="s">
        <v>1</v>
      </c>
      <c r="C1287" s="4" t="s">
        <v>93</v>
      </c>
      <c r="D1287" t="s">
        <v>96</v>
      </c>
      <c r="E1287" s="7">
        <v>320</v>
      </c>
      <c r="F1287">
        <v>1</v>
      </c>
      <c r="G1287" s="33">
        <v>1</v>
      </c>
      <c r="H1287" s="7">
        <v>1</v>
      </c>
      <c r="I1287" s="7"/>
      <c r="J1287" t="s">
        <v>19</v>
      </c>
      <c r="K1287" t="s">
        <v>20</v>
      </c>
      <c r="L1287" t="s">
        <v>26</v>
      </c>
    </row>
    <row r="1288" spans="2:12">
      <c r="B1288" t="s">
        <v>1</v>
      </c>
      <c r="C1288" s="4" t="s">
        <v>93</v>
      </c>
      <c r="D1288" t="s">
        <v>96</v>
      </c>
      <c r="E1288" s="7">
        <v>320</v>
      </c>
      <c r="F1288">
        <v>2</v>
      </c>
      <c r="G1288" s="33">
        <v>2</v>
      </c>
      <c r="H1288" s="7">
        <v>1</v>
      </c>
      <c r="I1288" s="7"/>
      <c r="J1288" t="s">
        <v>97</v>
      </c>
      <c r="K1288" t="s">
        <v>97</v>
      </c>
      <c r="L1288" t="s">
        <v>28</v>
      </c>
    </row>
    <row r="1289" spans="2:12">
      <c r="B1289" t="s">
        <v>1</v>
      </c>
      <c r="C1289" s="4" t="s">
        <v>93</v>
      </c>
      <c r="D1289" t="s">
        <v>96</v>
      </c>
      <c r="E1289" s="7">
        <v>330</v>
      </c>
      <c r="F1289">
        <v>1</v>
      </c>
      <c r="G1289" s="33">
        <v>1</v>
      </c>
      <c r="H1289" s="7">
        <v>1</v>
      </c>
      <c r="I1289" s="7"/>
      <c r="J1289" t="s">
        <v>19</v>
      </c>
      <c r="K1289" t="s">
        <v>20</v>
      </c>
      <c r="L1289" t="s">
        <v>26</v>
      </c>
    </row>
    <row r="1290" spans="2:12">
      <c r="D1290" t="s">
        <v>98</v>
      </c>
      <c r="E1290">
        <v>0</v>
      </c>
      <c r="F1290">
        <v>1</v>
      </c>
      <c r="I1290" t="s">
        <v>56</v>
      </c>
    </row>
    <row r="1291" spans="2:12">
      <c r="B1291" t="s">
        <v>99</v>
      </c>
      <c r="C1291" s="3" t="s">
        <v>100</v>
      </c>
      <c r="D1291" s="1" t="s">
        <v>98</v>
      </c>
      <c r="E1291">
        <v>10</v>
      </c>
      <c r="F1291">
        <v>1</v>
      </c>
      <c r="G1291" s="32">
        <v>1</v>
      </c>
      <c r="H1291">
        <v>1</v>
      </c>
      <c r="J1291" t="s">
        <v>19</v>
      </c>
      <c r="K1291" t="s">
        <v>20</v>
      </c>
      <c r="L1291" t="s">
        <v>26</v>
      </c>
    </row>
    <row r="1292" spans="2:12">
      <c r="B1292" t="s">
        <v>99</v>
      </c>
      <c r="C1292" s="3" t="s">
        <v>100</v>
      </c>
      <c r="D1292" s="1" t="s">
        <v>98</v>
      </c>
      <c r="E1292">
        <v>10</v>
      </c>
      <c r="F1292">
        <v>2</v>
      </c>
      <c r="G1292" s="32">
        <v>2</v>
      </c>
      <c r="H1292">
        <v>2</v>
      </c>
      <c r="J1292" t="s">
        <v>52</v>
      </c>
      <c r="K1292" t="s">
        <v>37</v>
      </c>
      <c r="L1292" t="s">
        <v>28</v>
      </c>
    </row>
    <row r="1293" spans="2:12">
      <c r="B1293" t="s">
        <v>99</v>
      </c>
      <c r="C1293" s="3" t="s">
        <v>100</v>
      </c>
      <c r="D1293" s="1" t="s">
        <v>98</v>
      </c>
      <c r="E1293">
        <v>20</v>
      </c>
      <c r="F1293">
        <v>1</v>
      </c>
      <c r="G1293" s="32">
        <v>1</v>
      </c>
      <c r="H1293">
        <v>1</v>
      </c>
      <c r="J1293" t="s">
        <v>19</v>
      </c>
      <c r="K1293" t="s">
        <v>20</v>
      </c>
      <c r="L1293" t="s">
        <v>26</v>
      </c>
    </row>
    <row r="1294" spans="2:12">
      <c r="B1294" t="s">
        <v>99</v>
      </c>
      <c r="C1294" s="3" t="s">
        <v>100</v>
      </c>
      <c r="D1294" s="1" t="s">
        <v>98</v>
      </c>
      <c r="E1294">
        <v>20</v>
      </c>
      <c r="F1294">
        <v>2</v>
      </c>
      <c r="G1294" s="32">
        <v>0</v>
      </c>
      <c r="H1294">
        <v>0</v>
      </c>
      <c r="J1294" t="s">
        <v>52</v>
      </c>
      <c r="L1294" t="s">
        <v>28</v>
      </c>
    </row>
    <row r="1295" spans="2:12">
      <c r="B1295" t="s">
        <v>99</v>
      </c>
      <c r="C1295" s="3" t="s">
        <v>100</v>
      </c>
      <c r="D1295" s="1" t="s">
        <v>98</v>
      </c>
      <c r="E1295">
        <v>30</v>
      </c>
      <c r="F1295">
        <v>1</v>
      </c>
      <c r="G1295" s="32">
        <v>1</v>
      </c>
      <c r="H1295">
        <v>1</v>
      </c>
      <c r="J1295" t="s">
        <v>19</v>
      </c>
      <c r="K1295" t="s">
        <v>20</v>
      </c>
      <c r="L1295" t="s">
        <v>26</v>
      </c>
    </row>
    <row r="1296" spans="2:12">
      <c r="B1296" t="s">
        <v>99</v>
      </c>
      <c r="C1296" s="3" t="s">
        <v>100</v>
      </c>
      <c r="D1296" s="1" t="s">
        <v>98</v>
      </c>
      <c r="E1296">
        <v>30</v>
      </c>
      <c r="F1296">
        <v>2</v>
      </c>
      <c r="G1296" s="32">
        <v>1</v>
      </c>
      <c r="H1296">
        <v>1</v>
      </c>
      <c r="J1296" t="s">
        <v>52</v>
      </c>
      <c r="K1296" t="s">
        <v>37</v>
      </c>
      <c r="L1296" t="s">
        <v>28</v>
      </c>
    </row>
    <row r="1297" spans="2:12">
      <c r="B1297" t="s">
        <v>99</v>
      </c>
      <c r="C1297" s="3" t="s">
        <v>100</v>
      </c>
      <c r="D1297" s="1" t="s">
        <v>98</v>
      </c>
      <c r="E1297">
        <v>40</v>
      </c>
      <c r="F1297">
        <v>1</v>
      </c>
      <c r="G1297" s="32">
        <v>1</v>
      </c>
      <c r="H1297">
        <v>2</v>
      </c>
      <c r="J1297" t="s">
        <v>52</v>
      </c>
      <c r="K1297" t="s">
        <v>33</v>
      </c>
      <c r="L1297" t="s">
        <v>28</v>
      </c>
    </row>
    <row r="1298" spans="2:12">
      <c r="D1298" t="s">
        <v>98</v>
      </c>
      <c r="E1298">
        <v>50</v>
      </c>
      <c r="F1298">
        <v>0</v>
      </c>
    </row>
    <row r="1299" spans="2:12">
      <c r="B1299" t="s">
        <v>99</v>
      </c>
      <c r="C1299" s="3" t="s">
        <v>100</v>
      </c>
      <c r="D1299" s="1" t="s">
        <v>98</v>
      </c>
      <c r="E1299">
        <v>60</v>
      </c>
      <c r="F1299">
        <v>1</v>
      </c>
      <c r="G1299" s="32">
        <v>1</v>
      </c>
      <c r="H1299">
        <v>1</v>
      </c>
      <c r="J1299" t="s">
        <v>19</v>
      </c>
      <c r="K1299" t="s">
        <v>20</v>
      </c>
      <c r="L1299" t="s">
        <v>26</v>
      </c>
    </row>
    <row r="1300" spans="2:12">
      <c r="B1300" t="s">
        <v>99</v>
      </c>
      <c r="C1300" s="3" t="s">
        <v>100</v>
      </c>
      <c r="D1300" s="1" t="s">
        <v>98</v>
      </c>
      <c r="E1300">
        <v>60</v>
      </c>
      <c r="F1300">
        <v>2</v>
      </c>
      <c r="G1300" s="32">
        <v>1</v>
      </c>
      <c r="H1300">
        <v>2</v>
      </c>
      <c r="J1300" t="s">
        <v>101</v>
      </c>
      <c r="K1300" t="s">
        <v>36</v>
      </c>
      <c r="L1300" t="s">
        <v>28</v>
      </c>
    </row>
    <row r="1301" spans="2:12">
      <c r="D1301" t="s">
        <v>98</v>
      </c>
      <c r="E1301">
        <v>70</v>
      </c>
      <c r="F1301">
        <v>1</v>
      </c>
      <c r="I1301" t="s">
        <v>56</v>
      </c>
    </row>
    <row r="1302" spans="2:12">
      <c r="B1302" t="s">
        <v>99</v>
      </c>
      <c r="C1302" s="3" t="s">
        <v>100</v>
      </c>
      <c r="D1302" s="1" t="s">
        <v>98</v>
      </c>
      <c r="E1302">
        <v>80</v>
      </c>
      <c r="F1302">
        <v>1</v>
      </c>
      <c r="G1302" s="32">
        <v>1</v>
      </c>
      <c r="H1302">
        <v>1</v>
      </c>
      <c r="J1302" t="s">
        <v>19</v>
      </c>
      <c r="K1302" t="s">
        <v>20</v>
      </c>
      <c r="L1302" t="s">
        <v>26</v>
      </c>
    </row>
    <row r="1303" spans="2:12">
      <c r="B1303" t="s">
        <v>99</v>
      </c>
      <c r="C1303" s="3" t="s">
        <v>100</v>
      </c>
      <c r="D1303" s="1" t="s">
        <v>98</v>
      </c>
      <c r="E1303">
        <v>80</v>
      </c>
      <c r="F1303">
        <v>2</v>
      </c>
      <c r="G1303" s="32">
        <v>0</v>
      </c>
      <c r="H1303">
        <v>0</v>
      </c>
      <c r="J1303" t="s">
        <v>47</v>
      </c>
      <c r="L1303" t="s">
        <v>28</v>
      </c>
    </row>
    <row r="1304" spans="2:12">
      <c r="B1304" t="s">
        <v>99</v>
      </c>
      <c r="C1304" s="3" t="s">
        <v>100</v>
      </c>
      <c r="D1304" s="1" t="s">
        <v>98</v>
      </c>
      <c r="E1304">
        <v>80</v>
      </c>
      <c r="F1304">
        <v>1</v>
      </c>
      <c r="G1304" s="32">
        <v>1</v>
      </c>
      <c r="H1304">
        <v>2</v>
      </c>
      <c r="J1304" t="s">
        <v>101</v>
      </c>
      <c r="K1304" t="s">
        <v>36</v>
      </c>
      <c r="L1304" t="s">
        <v>28</v>
      </c>
    </row>
    <row r="1305" spans="2:12">
      <c r="D1305" t="s">
        <v>98</v>
      </c>
      <c r="E1305">
        <v>90</v>
      </c>
      <c r="F1305">
        <v>1</v>
      </c>
      <c r="I1305" t="s">
        <v>56</v>
      </c>
    </row>
    <row r="1306" spans="2:12">
      <c r="D1306" t="s">
        <v>98</v>
      </c>
      <c r="E1306">
        <v>100</v>
      </c>
      <c r="F1306">
        <v>1</v>
      </c>
      <c r="I1306" t="s">
        <v>56</v>
      </c>
    </row>
    <row r="1307" spans="2:12">
      <c r="B1307" t="s">
        <v>99</v>
      </c>
      <c r="C1307" s="3" t="s">
        <v>100</v>
      </c>
      <c r="D1307" s="1" t="s">
        <v>98</v>
      </c>
      <c r="E1307">
        <v>110</v>
      </c>
      <c r="F1307">
        <v>1</v>
      </c>
      <c r="G1307" s="32">
        <v>1</v>
      </c>
      <c r="H1307">
        <v>1</v>
      </c>
      <c r="J1307" t="s">
        <v>19</v>
      </c>
      <c r="K1307" t="s">
        <v>20</v>
      </c>
      <c r="L1307" t="s">
        <v>26</v>
      </c>
    </row>
    <row r="1308" spans="2:12">
      <c r="B1308" t="s">
        <v>99</v>
      </c>
      <c r="C1308" s="3" t="s">
        <v>100</v>
      </c>
      <c r="D1308" s="1" t="s">
        <v>98</v>
      </c>
      <c r="E1308">
        <v>110</v>
      </c>
      <c r="F1308">
        <v>2</v>
      </c>
      <c r="G1308" s="32">
        <v>1</v>
      </c>
      <c r="H1308">
        <v>2</v>
      </c>
      <c r="J1308" t="s">
        <v>101</v>
      </c>
      <c r="K1308" t="s">
        <v>36</v>
      </c>
      <c r="L1308" t="s">
        <v>28</v>
      </c>
    </row>
    <row r="1309" spans="2:12">
      <c r="B1309" t="s">
        <v>99</v>
      </c>
      <c r="C1309" s="3" t="s">
        <v>100</v>
      </c>
      <c r="D1309" s="1" t="s">
        <v>98</v>
      </c>
      <c r="E1309">
        <v>120</v>
      </c>
      <c r="F1309">
        <v>1</v>
      </c>
      <c r="G1309" s="32">
        <v>1</v>
      </c>
      <c r="H1309">
        <v>1</v>
      </c>
      <c r="J1309" t="s">
        <v>19</v>
      </c>
      <c r="K1309" t="s">
        <v>20</v>
      </c>
      <c r="L1309" t="s">
        <v>26</v>
      </c>
    </row>
    <row r="1310" spans="2:12">
      <c r="B1310" t="s">
        <v>99</v>
      </c>
      <c r="C1310" s="3" t="s">
        <v>100</v>
      </c>
      <c r="D1310" s="1" t="s">
        <v>98</v>
      </c>
      <c r="E1310">
        <v>120</v>
      </c>
      <c r="F1310">
        <v>2</v>
      </c>
      <c r="G1310" s="32">
        <v>1</v>
      </c>
      <c r="H1310">
        <v>2</v>
      </c>
      <c r="J1310" t="s">
        <v>101</v>
      </c>
      <c r="K1310" t="s">
        <v>36</v>
      </c>
      <c r="L1310" t="s">
        <v>28</v>
      </c>
    </row>
    <row r="1311" spans="2:12">
      <c r="B1311" t="s">
        <v>99</v>
      </c>
      <c r="C1311" s="3" t="s">
        <v>100</v>
      </c>
      <c r="D1311" s="1" t="s">
        <v>98</v>
      </c>
      <c r="E1311">
        <v>130</v>
      </c>
      <c r="F1311">
        <v>1</v>
      </c>
      <c r="G1311" s="32">
        <v>2</v>
      </c>
      <c r="H1311">
        <v>1</v>
      </c>
      <c r="J1311" t="s">
        <v>19</v>
      </c>
      <c r="K1311" t="s">
        <v>20</v>
      </c>
      <c r="L1311" t="s">
        <v>26</v>
      </c>
    </row>
    <row r="1312" spans="2:12">
      <c r="D1312" t="s">
        <v>98</v>
      </c>
      <c r="E1312">
        <v>140</v>
      </c>
      <c r="I1312" t="s">
        <v>56</v>
      </c>
    </row>
    <row r="1313" spans="2:12">
      <c r="D1313" t="s">
        <v>98</v>
      </c>
      <c r="E1313">
        <v>150</v>
      </c>
      <c r="I1313" t="s">
        <v>56</v>
      </c>
    </row>
    <row r="1314" spans="2:12">
      <c r="D1314" t="s">
        <v>98</v>
      </c>
      <c r="E1314">
        <v>160</v>
      </c>
      <c r="I1314" t="s">
        <v>56</v>
      </c>
    </row>
    <row r="1315" spans="2:12">
      <c r="D1315" t="s">
        <v>98</v>
      </c>
      <c r="E1315">
        <v>170</v>
      </c>
      <c r="I1315" t="s">
        <v>56</v>
      </c>
    </row>
    <row r="1316" spans="2:12">
      <c r="D1316" t="s">
        <v>98</v>
      </c>
      <c r="E1316">
        <v>180</v>
      </c>
      <c r="I1316" t="s">
        <v>56</v>
      </c>
    </row>
    <row r="1317" spans="2:12">
      <c r="D1317" t="s">
        <v>98</v>
      </c>
      <c r="E1317">
        <v>190</v>
      </c>
      <c r="I1317" t="s">
        <v>56</v>
      </c>
    </row>
    <row r="1318" spans="2:12">
      <c r="D1318" t="s">
        <v>98</v>
      </c>
      <c r="E1318">
        <v>200</v>
      </c>
      <c r="I1318" t="s">
        <v>56</v>
      </c>
    </row>
    <row r="1319" spans="2:12">
      <c r="D1319" t="s">
        <v>98</v>
      </c>
      <c r="E1319">
        <v>210</v>
      </c>
      <c r="I1319" t="s">
        <v>56</v>
      </c>
    </row>
    <row r="1320" spans="2:12">
      <c r="D1320" t="s">
        <v>98</v>
      </c>
      <c r="E1320">
        <v>220</v>
      </c>
      <c r="I1320" t="s">
        <v>56</v>
      </c>
    </row>
    <row r="1321" spans="2:12">
      <c r="D1321" t="s">
        <v>98</v>
      </c>
      <c r="E1321">
        <v>230</v>
      </c>
      <c r="I1321" t="s">
        <v>56</v>
      </c>
    </row>
    <row r="1322" spans="2:12">
      <c r="D1322" t="s">
        <v>98</v>
      </c>
      <c r="E1322">
        <v>240</v>
      </c>
      <c r="I1322" t="s">
        <v>56</v>
      </c>
    </row>
    <row r="1323" spans="2:12">
      <c r="D1323" t="s">
        <v>98</v>
      </c>
      <c r="E1323">
        <v>250</v>
      </c>
      <c r="I1323" t="s">
        <v>56</v>
      </c>
    </row>
    <row r="1324" spans="2:12">
      <c r="D1324" t="s">
        <v>98</v>
      </c>
      <c r="E1324">
        <v>260</v>
      </c>
      <c r="I1324" t="s">
        <v>56</v>
      </c>
    </row>
    <row r="1325" spans="2:12">
      <c r="D1325" t="s">
        <v>98</v>
      </c>
      <c r="E1325">
        <v>270</v>
      </c>
      <c r="I1325" t="s">
        <v>56</v>
      </c>
    </row>
    <row r="1326" spans="2:12">
      <c r="D1326" t="s">
        <v>98</v>
      </c>
      <c r="E1326">
        <v>280</v>
      </c>
      <c r="I1326" t="s">
        <v>56</v>
      </c>
    </row>
    <row r="1327" spans="2:12">
      <c r="B1327" t="s">
        <v>99</v>
      </c>
      <c r="C1327" s="3" t="s">
        <v>100</v>
      </c>
      <c r="D1327" s="1" t="s">
        <v>98</v>
      </c>
      <c r="E1327">
        <v>290</v>
      </c>
      <c r="F1327">
        <v>1</v>
      </c>
      <c r="G1327" s="32">
        <v>1</v>
      </c>
      <c r="H1327">
        <v>1</v>
      </c>
      <c r="J1327" t="s">
        <v>19</v>
      </c>
      <c r="K1327" t="s">
        <v>20</v>
      </c>
      <c r="L1327" t="s">
        <v>26</v>
      </c>
    </row>
    <row r="1328" spans="2:12">
      <c r="B1328" t="s">
        <v>99</v>
      </c>
      <c r="C1328" s="3" t="s">
        <v>100</v>
      </c>
      <c r="D1328" s="1" t="s">
        <v>98</v>
      </c>
      <c r="E1328">
        <v>290</v>
      </c>
      <c r="F1328">
        <v>2</v>
      </c>
      <c r="G1328" s="32">
        <v>2</v>
      </c>
      <c r="H1328">
        <v>2</v>
      </c>
      <c r="J1328" t="s">
        <v>47</v>
      </c>
      <c r="K1328" t="s">
        <v>33</v>
      </c>
      <c r="L1328" t="s">
        <v>28</v>
      </c>
    </row>
    <row r="1329" spans="2:12">
      <c r="B1329" t="s">
        <v>99</v>
      </c>
      <c r="C1329" s="3" t="s">
        <v>100</v>
      </c>
      <c r="D1329" s="1" t="s">
        <v>98</v>
      </c>
      <c r="E1329">
        <v>290</v>
      </c>
      <c r="F1329">
        <v>3</v>
      </c>
      <c r="G1329" s="32">
        <v>3</v>
      </c>
      <c r="H1329">
        <v>0</v>
      </c>
      <c r="J1329" t="s">
        <v>19</v>
      </c>
      <c r="L1329" t="s">
        <v>26</v>
      </c>
    </row>
    <row r="1330" spans="2:12">
      <c r="B1330" t="s">
        <v>99</v>
      </c>
      <c r="C1330" s="3" t="s">
        <v>100</v>
      </c>
      <c r="D1330" s="1" t="s">
        <v>98</v>
      </c>
      <c r="E1330">
        <v>300</v>
      </c>
      <c r="F1330">
        <v>1</v>
      </c>
      <c r="G1330" s="32">
        <v>2</v>
      </c>
      <c r="H1330">
        <v>1</v>
      </c>
      <c r="J1330" t="s">
        <v>19</v>
      </c>
      <c r="K1330" t="s">
        <v>20</v>
      </c>
      <c r="L1330" t="s">
        <v>26</v>
      </c>
    </row>
    <row r="1331" spans="2:12">
      <c r="B1331" t="s">
        <v>99</v>
      </c>
      <c r="C1331" s="3" t="s">
        <v>100</v>
      </c>
      <c r="D1331" s="1" t="s">
        <v>98</v>
      </c>
      <c r="E1331">
        <v>300</v>
      </c>
      <c r="F1331">
        <v>2</v>
      </c>
      <c r="G1331" s="32">
        <v>1</v>
      </c>
      <c r="H1331">
        <v>2</v>
      </c>
      <c r="J1331" t="s">
        <v>47</v>
      </c>
      <c r="K1331" t="s">
        <v>33</v>
      </c>
      <c r="L1331" t="s">
        <v>28</v>
      </c>
    </row>
    <row r="1332" spans="2:12">
      <c r="D1332" t="s">
        <v>98</v>
      </c>
      <c r="E1332">
        <v>310</v>
      </c>
      <c r="I1332" t="s">
        <v>56</v>
      </c>
    </row>
    <row r="1333" spans="2:12">
      <c r="D1333" t="s">
        <v>98</v>
      </c>
      <c r="E1333">
        <v>320</v>
      </c>
      <c r="I1333" t="s">
        <v>56</v>
      </c>
    </row>
    <row r="1334" spans="2:12">
      <c r="D1334" t="s">
        <v>98</v>
      </c>
      <c r="E1334">
        <v>330</v>
      </c>
      <c r="I1334" t="s">
        <v>56</v>
      </c>
    </row>
    <row r="1335" spans="2:12">
      <c r="D1335" t="s">
        <v>98</v>
      </c>
      <c r="E1335">
        <v>340</v>
      </c>
      <c r="I1335" t="s">
        <v>56</v>
      </c>
    </row>
    <row r="1336" spans="2:12">
      <c r="D1336" t="s">
        <v>98</v>
      </c>
      <c r="E1336">
        <v>350</v>
      </c>
      <c r="I1336" t="s">
        <v>56</v>
      </c>
    </row>
    <row r="1337" spans="2:12">
      <c r="D1337" t="s">
        <v>98</v>
      </c>
      <c r="E1337">
        <v>360</v>
      </c>
      <c r="I1337" t="s">
        <v>56</v>
      </c>
    </row>
    <row r="1338" spans="2:12">
      <c r="D1338" t="s">
        <v>98</v>
      </c>
      <c r="E1338">
        <v>370</v>
      </c>
      <c r="I1338" t="s">
        <v>56</v>
      </c>
    </row>
    <row r="1339" spans="2:12">
      <c r="D1339" t="s">
        <v>98</v>
      </c>
      <c r="E1339">
        <v>380</v>
      </c>
      <c r="I1339" t="s">
        <v>56</v>
      </c>
    </row>
    <row r="1340" spans="2:12">
      <c r="D1340" t="s">
        <v>98</v>
      </c>
      <c r="E1340">
        <v>390</v>
      </c>
      <c r="I1340" t="s">
        <v>56</v>
      </c>
    </row>
    <row r="1341" spans="2:12">
      <c r="B1341" t="s">
        <v>99</v>
      </c>
      <c r="C1341" s="3" t="s">
        <v>100</v>
      </c>
      <c r="D1341" s="1" t="s">
        <v>98</v>
      </c>
      <c r="E1341">
        <v>400</v>
      </c>
      <c r="F1341">
        <v>1</v>
      </c>
      <c r="G1341" s="32">
        <v>3</v>
      </c>
      <c r="H1341">
        <v>0</v>
      </c>
      <c r="J1341" s="12" t="s">
        <v>46</v>
      </c>
    </row>
    <row r="1342" spans="2:12">
      <c r="B1342" t="s">
        <v>99</v>
      </c>
      <c r="C1342" s="3" t="s">
        <v>100</v>
      </c>
      <c r="D1342" s="1" t="s">
        <v>98</v>
      </c>
      <c r="E1342">
        <v>400</v>
      </c>
      <c r="F1342">
        <v>2</v>
      </c>
      <c r="G1342" s="32">
        <v>2</v>
      </c>
      <c r="H1342">
        <v>2</v>
      </c>
      <c r="J1342" t="s">
        <v>19</v>
      </c>
      <c r="K1342" t="s">
        <v>20</v>
      </c>
      <c r="L1342" t="s">
        <v>26</v>
      </c>
    </row>
    <row r="1343" spans="2:12">
      <c r="D1343" t="s">
        <v>98</v>
      </c>
      <c r="E1343">
        <v>410</v>
      </c>
      <c r="I1343" t="s">
        <v>56</v>
      </c>
    </row>
    <row r="1344" spans="2:12">
      <c r="D1344" t="s">
        <v>98</v>
      </c>
      <c r="E1344">
        <v>420</v>
      </c>
      <c r="I1344" t="s">
        <v>56</v>
      </c>
    </row>
    <row r="1345" spans="2:12">
      <c r="D1345" t="s">
        <v>98</v>
      </c>
      <c r="E1345">
        <v>430</v>
      </c>
      <c r="I1345" t="s">
        <v>56</v>
      </c>
    </row>
    <row r="1346" spans="2:12">
      <c r="D1346" t="s">
        <v>98</v>
      </c>
      <c r="E1346">
        <v>440</v>
      </c>
      <c r="I1346" t="s">
        <v>56</v>
      </c>
    </row>
    <row r="1347" spans="2:12">
      <c r="B1347" t="s">
        <v>99</v>
      </c>
      <c r="C1347" s="3" t="s">
        <v>100</v>
      </c>
      <c r="D1347" s="1" t="s">
        <v>98</v>
      </c>
      <c r="E1347">
        <v>450</v>
      </c>
      <c r="F1347">
        <v>1</v>
      </c>
      <c r="G1347" s="32">
        <v>3</v>
      </c>
      <c r="H1347">
        <v>0</v>
      </c>
      <c r="J1347" s="12" t="s">
        <v>46</v>
      </c>
    </row>
    <row r="1348" spans="2:12">
      <c r="B1348" t="s">
        <v>99</v>
      </c>
      <c r="C1348" s="3" t="s">
        <v>100</v>
      </c>
      <c r="D1348" s="1" t="s">
        <v>98</v>
      </c>
      <c r="E1348">
        <v>450</v>
      </c>
      <c r="F1348">
        <v>2</v>
      </c>
      <c r="G1348" s="32">
        <v>2</v>
      </c>
      <c r="H1348">
        <v>2</v>
      </c>
      <c r="J1348" t="s">
        <v>52</v>
      </c>
      <c r="K1348" t="s">
        <v>37</v>
      </c>
      <c r="L1348" t="s">
        <v>28</v>
      </c>
    </row>
    <row r="1349" spans="2:12">
      <c r="D1349" t="s">
        <v>98</v>
      </c>
      <c r="E1349">
        <v>460</v>
      </c>
      <c r="I1349" t="s">
        <v>56</v>
      </c>
    </row>
    <row r="1350" spans="2:12">
      <c r="D1350" t="s">
        <v>98</v>
      </c>
      <c r="E1350">
        <v>470</v>
      </c>
      <c r="I1350" t="s">
        <v>56</v>
      </c>
    </row>
    <row r="1351" spans="2:12">
      <c r="D1351" t="s">
        <v>98</v>
      </c>
      <c r="E1351">
        <v>480</v>
      </c>
      <c r="I1351" t="s">
        <v>56</v>
      </c>
    </row>
    <row r="1352" spans="2:12">
      <c r="D1352" t="s">
        <v>98</v>
      </c>
      <c r="E1352">
        <v>490</v>
      </c>
      <c r="I1352" t="s">
        <v>56</v>
      </c>
    </row>
    <row r="1353" spans="2:12">
      <c r="B1353" t="s">
        <v>99</v>
      </c>
      <c r="C1353" s="3" t="s">
        <v>100</v>
      </c>
      <c r="D1353" s="1" t="s">
        <v>98</v>
      </c>
      <c r="E1353">
        <v>500</v>
      </c>
      <c r="F1353">
        <v>1</v>
      </c>
      <c r="G1353" s="32">
        <v>2</v>
      </c>
      <c r="H1353">
        <v>2</v>
      </c>
      <c r="J1353" t="s">
        <v>19</v>
      </c>
      <c r="K1353" t="s">
        <v>33</v>
      </c>
      <c r="L1353" t="s">
        <v>26</v>
      </c>
    </row>
    <row r="1354" spans="2:12">
      <c r="B1354" t="s">
        <v>99</v>
      </c>
      <c r="C1354" s="3" t="s">
        <v>100</v>
      </c>
      <c r="D1354" s="1" t="s">
        <v>98</v>
      </c>
      <c r="E1354">
        <v>500</v>
      </c>
      <c r="F1354">
        <v>2</v>
      </c>
      <c r="G1354" s="32">
        <v>1</v>
      </c>
      <c r="H1354">
        <v>2</v>
      </c>
      <c r="J1354" t="s">
        <v>47</v>
      </c>
      <c r="K1354" t="s">
        <v>47</v>
      </c>
      <c r="L1354" t="s">
        <v>28</v>
      </c>
    </row>
    <row r="1355" spans="2:12">
      <c r="D1355" t="s">
        <v>98</v>
      </c>
      <c r="E1355">
        <v>510</v>
      </c>
      <c r="I1355" t="s">
        <v>56</v>
      </c>
    </row>
    <row r="1356" spans="2:12">
      <c r="B1356" t="s">
        <v>99</v>
      </c>
      <c r="C1356" s="3" t="s">
        <v>100</v>
      </c>
      <c r="D1356" s="1" t="s">
        <v>98</v>
      </c>
      <c r="E1356">
        <v>520</v>
      </c>
      <c r="F1356">
        <v>1</v>
      </c>
      <c r="G1356" s="32">
        <v>1</v>
      </c>
      <c r="H1356">
        <v>1</v>
      </c>
      <c r="J1356" t="s">
        <v>19</v>
      </c>
      <c r="K1356" t="s">
        <v>20</v>
      </c>
      <c r="L1356" t="s">
        <v>26</v>
      </c>
    </row>
    <row r="1357" spans="2:12">
      <c r="B1357" t="s">
        <v>99</v>
      </c>
      <c r="C1357" s="3" t="s">
        <v>100</v>
      </c>
      <c r="D1357" s="1" t="s">
        <v>98</v>
      </c>
      <c r="E1357">
        <v>520</v>
      </c>
      <c r="F1357">
        <v>2</v>
      </c>
      <c r="G1357" s="32">
        <v>2</v>
      </c>
      <c r="H1357">
        <v>2</v>
      </c>
      <c r="J1357" t="s">
        <v>47</v>
      </c>
      <c r="K1357" t="s">
        <v>33</v>
      </c>
      <c r="L1357" t="s">
        <v>28</v>
      </c>
    </row>
    <row r="1358" spans="2:12">
      <c r="D1358" t="s">
        <v>98</v>
      </c>
      <c r="E1358">
        <v>530</v>
      </c>
      <c r="I1358" t="s">
        <v>56</v>
      </c>
    </row>
    <row r="1359" spans="2:12">
      <c r="D1359" t="s">
        <v>98</v>
      </c>
      <c r="E1359">
        <v>540</v>
      </c>
      <c r="I1359" t="s">
        <v>56</v>
      </c>
    </row>
    <row r="1360" spans="2:12">
      <c r="D1360" t="s">
        <v>98</v>
      </c>
      <c r="E1360">
        <v>550</v>
      </c>
      <c r="I1360" t="s">
        <v>56</v>
      </c>
    </row>
    <row r="1361" spans="2:12">
      <c r="D1361" t="s">
        <v>98</v>
      </c>
      <c r="E1361">
        <v>560</v>
      </c>
      <c r="I1361" t="s">
        <v>56</v>
      </c>
    </row>
    <row r="1362" spans="2:12">
      <c r="D1362" t="s">
        <v>98</v>
      </c>
      <c r="E1362">
        <v>570</v>
      </c>
      <c r="I1362" t="s">
        <v>56</v>
      </c>
    </row>
    <row r="1363" spans="2:12">
      <c r="D1363" t="s">
        <v>98</v>
      </c>
      <c r="E1363">
        <v>580</v>
      </c>
      <c r="I1363" t="s">
        <v>56</v>
      </c>
    </row>
    <row r="1364" spans="2:12">
      <c r="D1364" t="s">
        <v>98</v>
      </c>
      <c r="E1364">
        <v>590</v>
      </c>
      <c r="I1364" t="s">
        <v>56</v>
      </c>
    </row>
    <row r="1365" spans="2:12">
      <c r="D1365" t="s">
        <v>98</v>
      </c>
      <c r="E1365">
        <v>600</v>
      </c>
      <c r="I1365" t="s">
        <v>56</v>
      </c>
    </row>
    <row r="1366" spans="2:12">
      <c r="D1366" t="s">
        <v>98</v>
      </c>
      <c r="E1366">
        <v>610</v>
      </c>
      <c r="I1366" t="s">
        <v>56</v>
      </c>
    </row>
    <row r="1367" spans="2:12">
      <c r="D1367" t="s">
        <v>98</v>
      </c>
      <c r="E1367">
        <v>620</v>
      </c>
      <c r="I1367" t="s">
        <v>56</v>
      </c>
    </row>
    <row r="1368" spans="2:12">
      <c r="B1368" t="s">
        <v>99</v>
      </c>
      <c r="C1368" s="3" t="s">
        <v>100</v>
      </c>
      <c r="D1368" s="1" t="s">
        <v>98</v>
      </c>
      <c r="E1368">
        <v>630</v>
      </c>
      <c r="F1368">
        <v>1</v>
      </c>
      <c r="G1368" s="32">
        <v>1</v>
      </c>
      <c r="H1368">
        <v>1</v>
      </c>
      <c r="J1368" t="s">
        <v>19</v>
      </c>
      <c r="K1368" t="s">
        <v>20</v>
      </c>
      <c r="L1368" t="s">
        <v>26</v>
      </c>
    </row>
    <row r="1369" spans="2:12">
      <c r="B1369" t="s">
        <v>99</v>
      </c>
      <c r="C1369" s="3" t="s">
        <v>100</v>
      </c>
      <c r="D1369" s="1" t="s">
        <v>98</v>
      </c>
      <c r="E1369">
        <v>630</v>
      </c>
      <c r="F1369">
        <v>2</v>
      </c>
      <c r="G1369" s="32">
        <v>2</v>
      </c>
      <c r="H1369">
        <v>1</v>
      </c>
      <c r="J1369" t="s">
        <v>47</v>
      </c>
      <c r="K1369" t="s">
        <v>33</v>
      </c>
      <c r="L1369" t="s">
        <v>28</v>
      </c>
    </row>
    <row r="1370" spans="2:12">
      <c r="D1370" t="s">
        <v>98</v>
      </c>
      <c r="E1370">
        <v>640</v>
      </c>
      <c r="I1370" t="s">
        <v>56</v>
      </c>
    </row>
    <row r="1371" spans="2:12">
      <c r="B1371" t="s">
        <v>99</v>
      </c>
      <c r="C1371" s="3" t="s">
        <v>100</v>
      </c>
      <c r="D1371" s="1" t="s">
        <v>98</v>
      </c>
      <c r="E1371">
        <v>650</v>
      </c>
      <c r="F1371">
        <v>1</v>
      </c>
      <c r="G1371" s="32">
        <v>1</v>
      </c>
      <c r="H1371">
        <v>2</v>
      </c>
      <c r="J1371" t="s">
        <v>19</v>
      </c>
      <c r="K1371" t="s">
        <v>20</v>
      </c>
      <c r="L1371" t="s">
        <v>26</v>
      </c>
    </row>
    <row r="1372" spans="2:12">
      <c r="B1372" t="s">
        <v>99</v>
      </c>
      <c r="C1372" s="3" t="s">
        <v>100</v>
      </c>
      <c r="D1372" s="1" t="s">
        <v>98</v>
      </c>
      <c r="E1372">
        <v>650</v>
      </c>
      <c r="F1372">
        <v>2</v>
      </c>
      <c r="G1372" s="32">
        <v>2</v>
      </c>
      <c r="H1372">
        <v>2</v>
      </c>
      <c r="J1372" t="s">
        <v>47</v>
      </c>
      <c r="K1372" t="s">
        <v>33</v>
      </c>
      <c r="L1372" t="s">
        <v>28</v>
      </c>
    </row>
    <row r="1373" spans="2:12">
      <c r="D1373" t="s">
        <v>98</v>
      </c>
      <c r="E1373">
        <v>660</v>
      </c>
      <c r="I1373" t="s">
        <v>56</v>
      </c>
    </row>
    <row r="1374" spans="2:12">
      <c r="D1374" t="s">
        <v>98</v>
      </c>
      <c r="E1374">
        <v>670</v>
      </c>
      <c r="I1374" t="s">
        <v>56</v>
      </c>
    </row>
    <row r="1375" spans="2:12">
      <c r="D1375" t="s">
        <v>98</v>
      </c>
      <c r="E1375">
        <v>680</v>
      </c>
      <c r="I1375" t="s">
        <v>56</v>
      </c>
    </row>
    <row r="1376" spans="2:12">
      <c r="D1376" t="s">
        <v>98</v>
      </c>
      <c r="E1376">
        <v>690</v>
      </c>
      <c r="I1376" t="s">
        <v>56</v>
      </c>
    </row>
    <row r="1377" spans="2:12">
      <c r="B1377" t="s">
        <v>99</v>
      </c>
      <c r="C1377" s="3" t="s">
        <v>100</v>
      </c>
      <c r="D1377" s="1" t="s">
        <v>98</v>
      </c>
      <c r="E1377">
        <v>700</v>
      </c>
      <c r="F1377">
        <v>1</v>
      </c>
      <c r="G1377" s="32">
        <v>3</v>
      </c>
      <c r="H1377">
        <v>0</v>
      </c>
      <c r="J1377" s="12" t="s">
        <v>46</v>
      </c>
    </row>
    <row r="1378" spans="2:12">
      <c r="B1378" t="s">
        <v>99</v>
      </c>
      <c r="C1378" s="3" t="s">
        <v>100</v>
      </c>
      <c r="D1378" s="1" t="s">
        <v>98</v>
      </c>
      <c r="E1378">
        <v>700</v>
      </c>
      <c r="F1378">
        <v>2</v>
      </c>
      <c r="G1378" s="32">
        <v>0</v>
      </c>
      <c r="H1378">
        <v>0</v>
      </c>
      <c r="J1378" t="s">
        <v>19</v>
      </c>
      <c r="L1378" t="s">
        <v>26</v>
      </c>
    </row>
    <row r="1379" spans="2:12">
      <c r="D1379" t="s">
        <v>98</v>
      </c>
      <c r="E1379">
        <v>710</v>
      </c>
      <c r="I1379" t="s">
        <v>56</v>
      </c>
    </row>
    <row r="1380" spans="2:12">
      <c r="D1380" t="s">
        <v>98</v>
      </c>
      <c r="E1380">
        <v>720</v>
      </c>
      <c r="I1380" t="s">
        <v>56</v>
      </c>
    </row>
    <row r="1381" spans="2:12">
      <c r="D1381" t="s">
        <v>98</v>
      </c>
      <c r="E1381">
        <v>730</v>
      </c>
      <c r="I1381" t="s">
        <v>56</v>
      </c>
    </row>
    <row r="1382" spans="2:12">
      <c r="D1382" t="s">
        <v>98</v>
      </c>
      <c r="E1382">
        <v>740</v>
      </c>
      <c r="I1382" t="s">
        <v>56</v>
      </c>
    </row>
    <row r="1383" spans="2:12">
      <c r="D1383" t="s">
        <v>98</v>
      </c>
      <c r="E1383">
        <v>750</v>
      </c>
      <c r="I1383" t="s">
        <v>56</v>
      </c>
    </row>
    <row r="1384" spans="2:12">
      <c r="D1384" t="s">
        <v>98</v>
      </c>
      <c r="E1384">
        <v>760</v>
      </c>
      <c r="I1384" t="s">
        <v>56</v>
      </c>
    </row>
    <row r="1385" spans="2:12">
      <c r="D1385" t="s">
        <v>98</v>
      </c>
      <c r="E1385">
        <v>770</v>
      </c>
      <c r="I1385" t="s">
        <v>56</v>
      </c>
    </row>
    <row r="1386" spans="2:12">
      <c r="B1386" t="s">
        <v>99</v>
      </c>
      <c r="C1386" s="3" t="s">
        <v>100</v>
      </c>
      <c r="D1386" s="1" t="s">
        <v>98</v>
      </c>
      <c r="E1386">
        <v>780</v>
      </c>
      <c r="F1386">
        <v>1</v>
      </c>
      <c r="G1386" s="32">
        <v>1</v>
      </c>
      <c r="H1386">
        <v>2</v>
      </c>
      <c r="J1386" t="s">
        <v>35</v>
      </c>
      <c r="K1386" t="s">
        <v>36</v>
      </c>
      <c r="L1386" t="s">
        <v>28</v>
      </c>
    </row>
    <row r="1387" spans="2:12">
      <c r="D1387" t="s">
        <v>98</v>
      </c>
      <c r="E1387">
        <v>790</v>
      </c>
      <c r="I1387" t="s">
        <v>56</v>
      </c>
    </row>
    <row r="1388" spans="2:12">
      <c r="B1388" t="s">
        <v>99</v>
      </c>
      <c r="C1388" s="3" t="s">
        <v>100</v>
      </c>
      <c r="D1388" s="1" t="s">
        <v>98</v>
      </c>
      <c r="E1388">
        <v>800</v>
      </c>
      <c r="F1388">
        <v>1</v>
      </c>
      <c r="G1388" s="32">
        <v>3</v>
      </c>
      <c r="H1388">
        <v>0</v>
      </c>
      <c r="J1388" s="12" t="s">
        <v>46</v>
      </c>
    </row>
    <row r="1389" spans="2:12">
      <c r="B1389" t="s">
        <v>99</v>
      </c>
      <c r="C1389" s="3" t="s">
        <v>100</v>
      </c>
      <c r="D1389" s="1" t="s">
        <v>98</v>
      </c>
      <c r="E1389">
        <v>800</v>
      </c>
      <c r="F1389">
        <v>2</v>
      </c>
      <c r="G1389" s="32">
        <v>0</v>
      </c>
      <c r="H1389">
        <v>0</v>
      </c>
      <c r="J1389" t="s">
        <v>35</v>
      </c>
      <c r="L1389" t="s">
        <v>28</v>
      </c>
    </row>
    <row r="1390" spans="2:12">
      <c r="B1390" t="s">
        <v>99</v>
      </c>
      <c r="C1390" s="3" t="s">
        <v>100</v>
      </c>
      <c r="D1390" s="1" t="s">
        <v>98</v>
      </c>
      <c r="E1390">
        <v>810</v>
      </c>
      <c r="F1390">
        <v>1</v>
      </c>
      <c r="G1390" s="32">
        <v>1</v>
      </c>
      <c r="H1390">
        <v>2</v>
      </c>
      <c r="J1390" t="s">
        <v>19</v>
      </c>
      <c r="K1390" t="s">
        <v>20</v>
      </c>
      <c r="L1390" t="s">
        <v>26</v>
      </c>
    </row>
    <row r="1391" spans="2:12">
      <c r="B1391" t="s">
        <v>99</v>
      </c>
      <c r="C1391" s="3" t="s">
        <v>100</v>
      </c>
      <c r="D1391" s="1" t="s">
        <v>98</v>
      </c>
      <c r="E1391">
        <v>810</v>
      </c>
      <c r="F1391">
        <v>2</v>
      </c>
      <c r="G1391" s="32">
        <v>3</v>
      </c>
      <c r="H1391">
        <v>0</v>
      </c>
      <c r="J1391" t="s">
        <v>35</v>
      </c>
      <c r="L1391" t="s">
        <v>28</v>
      </c>
    </row>
    <row r="1392" spans="2:12">
      <c r="D1392" t="s">
        <v>98</v>
      </c>
      <c r="E1392">
        <v>820</v>
      </c>
      <c r="I1392" t="s">
        <v>56</v>
      </c>
    </row>
    <row r="1393" spans="2:12">
      <c r="B1393" t="s">
        <v>99</v>
      </c>
      <c r="C1393" s="3" t="s">
        <v>100</v>
      </c>
      <c r="D1393" s="1" t="s">
        <v>98</v>
      </c>
      <c r="E1393">
        <v>830</v>
      </c>
      <c r="F1393">
        <v>1</v>
      </c>
      <c r="G1393" s="32">
        <v>1</v>
      </c>
      <c r="H1393" t="s">
        <v>50</v>
      </c>
      <c r="I1393" t="s">
        <v>102</v>
      </c>
    </row>
    <row r="1394" spans="2:12">
      <c r="B1394" t="s">
        <v>99</v>
      </c>
      <c r="C1394" s="3" t="s">
        <v>100</v>
      </c>
      <c r="D1394" s="1" t="s">
        <v>98</v>
      </c>
      <c r="E1394">
        <v>830</v>
      </c>
      <c r="F1394">
        <v>2</v>
      </c>
      <c r="G1394" s="32" t="s">
        <v>50</v>
      </c>
      <c r="H1394" t="s">
        <v>50</v>
      </c>
      <c r="I1394" t="s">
        <v>102</v>
      </c>
    </row>
    <row r="1395" spans="2:12">
      <c r="B1395" t="s">
        <v>99</v>
      </c>
      <c r="C1395" s="3" t="s">
        <v>100</v>
      </c>
      <c r="D1395" s="1" t="s">
        <v>98</v>
      </c>
      <c r="E1395">
        <v>840</v>
      </c>
      <c r="F1395">
        <v>1</v>
      </c>
      <c r="G1395" s="32" t="s">
        <v>50</v>
      </c>
      <c r="H1395" t="s">
        <v>50</v>
      </c>
      <c r="I1395" t="s">
        <v>102</v>
      </c>
    </row>
    <row r="1396" spans="2:12">
      <c r="B1396" t="s">
        <v>99</v>
      </c>
      <c r="C1396" s="3" t="s">
        <v>100</v>
      </c>
      <c r="D1396" s="1" t="s">
        <v>98</v>
      </c>
      <c r="E1396">
        <v>840</v>
      </c>
      <c r="F1396">
        <v>2</v>
      </c>
      <c r="G1396" s="32" t="s">
        <v>50</v>
      </c>
      <c r="H1396" t="s">
        <v>50</v>
      </c>
      <c r="I1396" t="s">
        <v>102</v>
      </c>
    </row>
    <row r="1397" spans="2:12">
      <c r="D1397" t="s">
        <v>98</v>
      </c>
      <c r="E1397">
        <v>850</v>
      </c>
      <c r="I1397" t="s">
        <v>56</v>
      </c>
    </row>
    <row r="1398" spans="2:12">
      <c r="D1398" t="s">
        <v>98</v>
      </c>
      <c r="E1398">
        <v>860</v>
      </c>
      <c r="I1398" t="s">
        <v>56</v>
      </c>
    </row>
    <row r="1399" spans="2:12">
      <c r="D1399" t="s">
        <v>98</v>
      </c>
      <c r="E1399">
        <v>870</v>
      </c>
      <c r="I1399" t="s">
        <v>56</v>
      </c>
    </row>
    <row r="1400" spans="2:12">
      <c r="D1400" t="s">
        <v>98</v>
      </c>
      <c r="E1400">
        <v>880</v>
      </c>
      <c r="I1400" t="s">
        <v>56</v>
      </c>
    </row>
    <row r="1401" spans="2:12">
      <c r="D1401" t="s">
        <v>98</v>
      </c>
      <c r="E1401">
        <v>890</v>
      </c>
      <c r="I1401" t="s">
        <v>56</v>
      </c>
    </row>
    <row r="1402" spans="2:12">
      <c r="B1402" t="s">
        <v>99</v>
      </c>
      <c r="C1402" s="3" t="s">
        <v>100</v>
      </c>
      <c r="D1402" s="1" t="s">
        <v>98</v>
      </c>
      <c r="E1402">
        <v>900</v>
      </c>
      <c r="F1402">
        <v>1</v>
      </c>
      <c r="G1402" s="32">
        <v>1</v>
      </c>
      <c r="H1402">
        <v>2</v>
      </c>
      <c r="J1402" t="s">
        <v>19</v>
      </c>
      <c r="K1402" t="s">
        <v>20</v>
      </c>
      <c r="L1402" t="s">
        <v>26</v>
      </c>
    </row>
    <row r="1403" spans="2:12">
      <c r="D1403" t="s">
        <v>98</v>
      </c>
      <c r="E1403">
        <v>910</v>
      </c>
      <c r="I1403" t="s">
        <v>56</v>
      </c>
    </row>
    <row r="1404" spans="2:12">
      <c r="B1404" t="s">
        <v>99</v>
      </c>
      <c r="C1404" s="3" t="s">
        <v>100</v>
      </c>
      <c r="D1404" s="1" t="s">
        <v>98</v>
      </c>
      <c r="E1404">
        <v>920</v>
      </c>
      <c r="F1404">
        <v>1</v>
      </c>
      <c r="G1404" s="32">
        <v>1</v>
      </c>
      <c r="H1404">
        <v>2</v>
      </c>
      <c r="J1404" t="s">
        <v>19</v>
      </c>
      <c r="K1404" t="s">
        <v>20</v>
      </c>
      <c r="L1404" t="s">
        <v>26</v>
      </c>
    </row>
    <row r="1405" spans="2:12">
      <c r="B1405" t="s">
        <v>99</v>
      </c>
      <c r="C1405" s="3" t="s">
        <v>100</v>
      </c>
      <c r="D1405" s="1" t="s">
        <v>98</v>
      </c>
      <c r="E1405">
        <v>920</v>
      </c>
      <c r="F1405">
        <v>2</v>
      </c>
      <c r="G1405" s="32">
        <v>3</v>
      </c>
      <c r="H1405">
        <v>0</v>
      </c>
      <c r="J1405" s="12" t="s">
        <v>46</v>
      </c>
    </row>
    <row r="1406" spans="2:12">
      <c r="B1406" t="s">
        <v>99</v>
      </c>
      <c r="C1406" s="3" t="s">
        <v>100</v>
      </c>
      <c r="D1406" s="1" t="s">
        <v>98</v>
      </c>
      <c r="E1406">
        <v>920</v>
      </c>
      <c r="F1406">
        <v>3</v>
      </c>
      <c r="G1406" s="32">
        <v>0</v>
      </c>
      <c r="H1406">
        <v>0</v>
      </c>
      <c r="J1406" t="s">
        <v>35</v>
      </c>
      <c r="L1406" t="s">
        <v>28</v>
      </c>
    </row>
    <row r="1407" spans="2:12">
      <c r="D1407" t="s">
        <v>98</v>
      </c>
      <c r="E1407">
        <v>930</v>
      </c>
      <c r="I1407" t="s">
        <v>56</v>
      </c>
    </row>
    <row r="1408" spans="2:12">
      <c r="D1408" t="s">
        <v>98</v>
      </c>
      <c r="E1408">
        <v>940</v>
      </c>
      <c r="I1408" t="s">
        <v>56</v>
      </c>
    </row>
    <row r="1409" spans="2:12">
      <c r="D1409" t="s">
        <v>98</v>
      </c>
      <c r="E1409">
        <v>950</v>
      </c>
      <c r="I1409" t="s">
        <v>56</v>
      </c>
    </row>
    <row r="1410" spans="2:12">
      <c r="B1410" t="s">
        <v>99</v>
      </c>
      <c r="C1410" s="3" t="s">
        <v>100</v>
      </c>
      <c r="D1410" s="1" t="s">
        <v>98</v>
      </c>
      <c r="E1410">
        <v>960</v>
      </c>
      <c r="F1410">
        <v>1</v>
      </c>
      <c r="G1410" s="32">
        <v>1</v>
      </c>
      <c r="H1410">
        <v>2</v>
      </c>
      <c r="J1410" t="s">
        <v>19</v>
      </c>
      <c r="K1410" t="s">
        <v>20</v>
      </c>
      <c r="L1410" t="s">
        <v>26</v>
      </c>
    </row>
    <row r="1411" spans="2:12">
      <c r="B1411" t="s">
        <v>99</v>
      </c>
      <c r="C1411" s="3" t="s">
        <v>100</v>
      </c>
      <c r="D1411" s="1" t="s">
        <v>98</v>
      </c>
      <c r="E1411">
        <v>970</v>
      </c>
      <c r="F1411">
        <v>1</v>
      </c>
      <c r="G1411" s="32">
        <v>1</v>
      </c>
      <c r="H1411">
        <v>2</v>
      </c>
      <c r="J1411" t="s">
        <v>19</v>
      </c>
      <c r="K1411" t="s">
        <v>20</v>
      </c>
      <c r="L1411" t="s">
        <v>26</v>
      </c>
    </row>
    <row r="1412" spans="2:12">
      <c r="B1412" t="s">
        <v>99</v>
      </c>
      <c r="C1412" s="3" t="s">
        <v>100</v>
      </c>
      <c r="D1412" s="1" t="s">
        <v>98</v>
      </c>
      <c r="E1412">
        <v>980</v>
      </c>
      <c r="F1412">
        <v>1</v>
      </c>
      <c r="G1412" s="32">
        <v>1</v>
      </c>
      <c r="H1412">
        <v>2</v>
      </c>
      <c r="J1412" t="s">
        <v>19</v>
      </c>
      <c r="K1412" t="s">
        <v>20</v>
      </c>
      <c r="L1412" t="s">
        <v>26</v>
      </c>
    </row>
    <row r="1413" spans="2:12">
      <c r="B1413" t="s">
        <v>99</v>
      </c>
      <c r="C1413" s="3" t="s">
        <v>100</v>
      </c>
      <c r="D1413" s="1" t="s">
        <v>98</v>
      </c>
      <c r="E1413">
        <v>980</v>
      </c>
      <c r="F1413">
        <v>2</v>
      </c>
      <c r="G1413" s="32">
        <v>0</v>
      </c>
      <c r="H1413">
        <v>0</v>
      </c>
      <c r="J1413" t="s">
        <v>35</v>
      </c>
      <c r="L1413" t="s">
        <v>28</v>
      </c>
    </row>
    <row r="1414" spans="2:12">
      <c r="B1414" t="s">
        <v>99</v>
      </c>
      <c r="C1414" s="3" t="s">
        <v>100</v>
      </c>
      <c r="D1414" s="1" t="s">
        <v>98</v>
      </c>
      <c r="E1414">
        <v>990</v>
      </c>
      <c r="F1414">
        <v>1</v>
      </c>
      <c r="G1414" s="32">
        <v>1</v>
      </c>
      <c r="H1414">
        <v>2</v>
      </c>
      <c r="J1414" t="s">
        <v>19</v>
      </c>
      <c r="K1414" t="s">
        <v>20</v>
      </c>
      <c r="L1414" t="s">
        <v>26</v>
      </c>
    </row>
    <row r="1415" spans="2:12">
      <c r="B1415" t="s">
        <v>99</v>
      </c>
      <c r="C1415" s="3" t="s">
        <v>100</v>
      </c>
      <c r="D1415" s="1" t="s">
        <v>98</v>
      </c>
      <c r="E1415">
        <v>990</v>
      </c>
      <c r="F1415">
        <v>2</v>
      </c>
      <c r="G1415" s="32">
        <v>0</v>
      </c>
      <c r="H1415">
        <v>0</v>
      </c>
      <c r="J1415" t="s">
        <v>35</v>
      </c>
      <c r="L1415" t="s">
        <v>28</v>
      </c>
    </row>
    <row r="1416" spans="2:12">
      <c r="D1416" t="s">
        <v>98</v>
      </c>
      <c r="E1416">
        <v>1000</v>
      </c>
      <c r="I1416" t="s">
        <v>56</v>
      </c>
    </row>
    <row r="1417" spans="2:12">
      <c r="B1417" t="s">
        <v>99</v>
      </c>
      <c r="C1417" s="3" t="s">
        <v>100</v>
      </c>
      <c r="D1417" s="1" t="s">
        <v>98</v>
      </c>
      <c r="E1417">
        <v>1010</v>
      </c>
      <c r="F1417">
        <v>1</v>
      </c>
      <c r="G1417" s="32">
        <v>1</v>
      </c>
      <c r="H1417">
        <v>2</v>
      </c>
      <c r="J1417" t="s">
        <v>19</v>
      </c>
      <c r="K1417" t="s">
        <v>20</v>
      </c>
      <c r="L1417" t="s">
        <v>26</v>
      </c>
    </row>
    <row r="1418" spans="2:12">
      <c r="B1418" t="s">
        <v>99</v>
      </c>
      <c r="C1418" s="3" t="s">
        <v>100</v>
      </c>
      <c r="D1418" s="1" t="s">
        <v>98</v>
      </c>
      <c r="E1418">
        <v>1010</v>
      </c>
      <c r="F1418">
        <v>2</v>
      </c>
      <c r="G1418" s="32">
        <v>2</v>
      </c>
      <c r="H1418">
        <v>2</v>
      </c>
      <c r="J1418" t="s">
        <v>35</v>
      </c>
      <c r="K1418" t="s">
        <v>33</v>
      </c>
      <c r="L1418" t="s">
        <v>28</v>
      </c>
    </row>
    <row r="1419" spans="2:12">
      <c r="B1419" t="s">
        <v>99</v>
      </c>
      <c r="C1419" s="3" t="s">
        <v>100</v>
      </c>
      <c r="D1419" s="1" t="s">
        <v>98</v>
      </c>
      <c r="E1419">
        <v>1020</v>
      </c>
      <c r="F1419">
        <v>1</v>
      </c>
      <c r="G1419" s="32">
        <v>1</v>
      </c>
      <c r="H1419">
        <v>2</v>
      </c>
      <c r="J1419" t="s">
        <v>19</v>
      </c>
      <c r="K1419" t="s">
        <v>20</v>
      </c>
      <c r="L1419" t="s">
        <v>26</v>
      </c>
    </row>
    <row r="1420" spans="2:12">
      <c r="B1420" t="s">
        <v>99</v>
      </c>
      <c r="C1420" s="3" t="s">
        <v>100</v>
      </c>
      <c r="D1420" s="1" t="s">
        <v>98</v>
      </c>
      <c r="E1420">
        <v>1020</v>
      </c>
      <c r="F1420">
        <v>2</v>
      </c>
      <c r="G1420" s="32">
        <v>1</v>
      </c>
      <c r="H1420">
        <v>2</v>
      </c>
      <c r="J1420" t="s">
        <v>35</v>
      </c>
      <c r="K1420" t="s">
        <v>33</v>
      </c>
      <c r="L1420" t="s">
        <v>28</v>
      </c>
    </row>
    <row r="1421" spans="2:12">
      <c r="D1421" t="s">
        <v>98</v>
      </c>
      <c r="E1421">
        <v>1030</v>
      </c>
      <c r="I1421" t="s">
        <v>56</v>
      </c>
    </row>
    <row r="1422" spans="2:12">
      <c r="D1422" t="s">
        <v>98</v>
      </c>
      <c r="E1422">
        <v>1040</v>
      </c>
      <c r="I1422" t="s">
        <v>56</v>
      </c>
    </row>
    <row r="1423" spans="2:12">
      <c r="D1423" t="s">
        <v>98</v>
      </c>
      <c r="E1423">
        <v>1050</v>
      </c>
      <c r="F1423">
        <v>1</v>
      </c>
      <c r="H1423">
        <v>2</v>
      </c>
      <c r="J1423" t="s">
        <v>53</v>
      </c>
      <c r="K1423" t="s">
        <v>31</v>
      </c>
      <c r="L1423" t="s">
        <v>28</v>
      </c>
    </row>
    <row r="1424" spans="2:12">
      <c r="D1424" t="s">
        <v>98</v>
      </c>
      <c r="E1424">
        <v>1060</v>
      </c>
      <c r="F1424">
        <v>1</v>
      </c>
      <c r="H1424">
        <v>2</v>
      </c>
    </row>
    <row r="1425" spans="2:12">
      <c r="D1425" t="s">
        <v>98</v>
      </c>
      <c r="E1425">
        <v>1060</v>
      </c>
      <c r="F1425">
        <v>2</v>
      </c>
      <c r="H1425">
        <v>2</v>
      </c>
      <c r="J1425" t="s">
        <v>53</v>
      </c>
      <c r="L1425" t="s">
        <v>28</v>
      </c>
    </row>
    <row r="1426" spans="2:12">
      <c r="D1426" t="s">
        <v>98</v>
      </c>
      <c r="E1426">
        <v>1070</v>
      </c>
      <c r="F1426">
        <v>1</v>
      </c>
      <c r="H1426">
        <v>2</v>
      </c>
    </row>
    <row r="1427" spans="2:12">
      <c r="D1427" t="s">
        <v>98</v>
      </c>
      <c r="E1427">
        <v>1070</v>
      </c>
      <c r="F1427">
        <v>2</v>
      </c>
      <c r="H1427">
        <v>0</v>
      </c>
      <c r="J1427" t="s">
        <v>57</v>
      </c>
      <c r="L1427" t="s">
        <v>28</v>
      </c>
    </row>
    <row r="1428" spans="2:12">
      <c r="B1428" t="s">
        <v>99</v>
      </c>
      <c r="C1428" s="3" t="s">
        <v>100</v>
      </c>
      <c r="D1428" s="1" t="s">
        <v>98</v>
      </c>
      <c r="E1428">
        <v>1080</v>
      </c>
      <c r="F1428">
        <v>1</v>
      </c>
      <c r="G1428" s="32">
        <v>1</v>
      </c>
      <c r="H1428">
        <v>1</v>
      </c>
      <c r="J1428" t="s">
        <v>19</v>
      </c>
      <c r="K1428" t="s">
        <v>20</v>
      </c>
      <c r="L1428" t="s">
        <v>26</v>
      </c>
    </row>
    <row r="1429" spans="2:12">
      <c r="B1429" t="s">
        <v>99</v>
      </c>
      <c r="C1429" s="3" t="s">
        <v>100</v>
      </c>
      <c r="D1429" s="1" t="s">
        <v>98</v>
      </c>
      <c r="E1429">
        <v>1080</v>
      </c>
      <c r="F1429">
        <v>2</v>
      </c>
      <c r="G1429" s="32">
        <v>0</v>
      </c>
      <c r="H1429">
        <v>0</v>
      </c>
      <c r="J1429" t="s">
        <v>42</v>
      </c>
      <c r="L1429" t="s">
        <v>28</v>
      </c>
    </row>
    <row r="1430" spans="2:12">
      <c r="B1430" t="s">
        <v>99</v>
      </c>
      <c r="C1430" s="3" t="s">
        <v>100</v>
      </c>
      <c r="D1430" s="1" t="s">
        <v>98</v>
      </c>
      <c r="E1430">
        <v>1090</v>
      </c>
      <c r="F1430">
        <v>1</v>
      </c>
      <c r="G1430" s="32">
        <v>1</v>
      </c>
      <c r="H1430" t="s">
        <v>50</v>
      </c>
      <c r="I1430" t="s">
        <v>102</v>
      </c>
    </row>
    <row r="1431" spans="2:12">
      <c r="B1431" t="s">
        <v>99</v>
      </c>
      <c r="C1431" s="3" t="s">
        <v>100</v>
      </c>
      <c r="D1431" s="1" t="s">
        <v>98</v>
      </c>
      <c r="E1431">
        <v>1090</v>
      </c>
      <c r="F1431">
        <v>2</v>
      </c>
      <c r="G1431" s="32">
        <v>0</v>
      </c>
      <c r="H1431">
        <v>0</v>
      </c>
      <c r="I1431" t="s">
        <v>102</v>
      </c>
      <c r="J1431" t="s">
        <v>19</v>
      </c>
      <c r="L1431" t="s">
        <v>26</v>
      </c>
    </row>
    <row r="1432" spans="2:12">
      <c r="B1432" t="s">
        <v>99</v>
      </c>
      <c r="C1432" s="3" t="s">
        <v>100</v>
      </c>
      <c r="D1432" s="1" t="s">
        <v>98</v>
      </c>
      <c r="E1432">
        <v>1100</v>
      </c>
      <c r="F1432">
        <v>1</v>
      </c>
      <c r="G1432" s="32" t="s">
        <v>50</v>
      </c>
      <c r="H1432" t="s">
        <v>50</v>
      </c>
      <c r="I1432" t="s">
        <v>102</v>
      </c>
    </row>
    <row r="1433" spans="2:12">
      <c r="B1433" t="s">
        <v>99</v>
      </c>
      <c r="C1433" s="3" t="s">
        <v>100</v>
      </c>
      <c r="D1433" s="1" t="s">
        <v>98</v>
      </c>
      <c r="E1433">
        <v>1100</v>
      </c>
      <c r="F1433">
        <v>2</v>
      </c>
      <c r="G1433" s="32">
        <v>0</v>
      </c>
      <c r="H1433">
        <v>0</v>
      </c>
      <c r="J1433" t="s">
        <v>19</v>
      </c>
      <c r="L1433" t="s">
        <v>26</v>
      </c>
    </row>
    <row r="1434" spans="2:12">
      <c r="D1434" t="s">
        <v>98</v>
      </c>
      <c r="E1434">
        <v>1110</v>
      </c>
      <c r="I1434" t="s">
        <v>56</v>
      </c>
    </row>
    <row r="1435" spans="2:12">
      <c r="D1435" t="s">
        <v>98</v>
      </c>
      <c r="E1435">
        <v>1120</v>
      </c>
      <c r="I1435" t="s">
        <v>56</v>
      </c>
    </row>
    <row r="1436" spans="2:12">
      <c r="D1436" t="s">
        <v>98</v>
      </c>
      <c r="E1436">
        <v>1130</v>
      </c>
      <c r="F1436">
        <v>1</v>
      </c>
      <c r="H1436">
        <v>2</v>
      </c>
    </row>
    <row r="1437" spans="2:12">
      <c r="D1437" t="s">
        <v>98</v>
      </c>
      <c r="E1437">
        <v>1130</v>
      </c>
      <c r="F1437">
        <v>2</v>
      </c>
      <c r="H1437">
        <v>2</v>
      </c>
      <c r="J1437" t="s">
        <v>53</v>
      </c>
      <c r="K1437" t="s">
        <v>34</v>
      </c>
      <c r="L1437" t="s">
        <v>28</v>
      </c>
    </row>
    <row r="1438" spans="2:12">
      <c r="D1438" t="s">
        <v>98</v>
      </c>
      <c r="E1438">
        <v>1140</v>
      </c>
      <c r="F1438">
        <v>1</v>
      </c>
      <c r="H1438">
        <v>2</v>
      </c>
      <c r="J1438" t="s">
        <v>19</v>
      </c>
      <c r="K1438" t="s">
        <v>20</v>
      </c>
      <c r="L1438" t="s">
        <v>26</v>
      </c>
    </row>
    <row r="1439" spans="2:12">
      <c r="D1439" t="s">
        <v>98</v>
      </c>
      <c r="E1439">
        <v>1150</v>
      </c>
      <c r="F1439">
        <v>1</v>
      </c>
      <c r="H1439">
        <v>2</v>
      </c>
    </row>
    <row r="1440" spans="2:12">
      <c r="D1440" t="s">
        <v>98</v>
      </c>
      <c r="E1440">
        <v>1150</v>
      </c>
      <c r="F1440">
        <v>2</v>
      </c>
      <c r="H1440">
        <v>2</v>
      </c>
      <c r="J1440" t="s">
        <v>53</v>
      </c>
      <c r="K1440" t="s">
        <v>31</v>
      </c>
      <c r="L1440" t="s">
        <v>28</v>
      </c>
    </row>
    <row r="1441" spans="2:12">
      <c r="D1441" t="s">
        <v>98</v>
      </c>
      <c r="E1441">
        <v>1160</v>
      </c>
      <c r="F1441">
        <v>1</v>
      </c>
      <c r="H1441">
        <v>2</v>
      </c>
    </row>
    <row r="1442" spans="2:12">
      <c r="D1442" t="s">
        <v>98</v>
      </c>
      <c r="E1442">
        <v>1160</v>
      </c>
      <c r="F1442">
        <v>2</v>
      </c>
      <c r="H1442">
        <v>2</v>
      </c>
      <c r="J1442" t="s">
        <v>57</v>
      </c>
      <c r="K1442" t="s">
        <v>34</v>
      </c>
      <c r="L1442" t="s">
        <v>28</v>
      </c>
    </row>
    <row r="1443" spans="2:12">
      <c r="D1443" t="s">
        <v>98</v>
      </c>
      <c r="E1443">
        <v>1170</v>
      </c>
      <c r="F1443">
        <v>1</v>
      </c>
      <c r="H1443">
        <v>2</v>
      </c>
    </row>
    <row r="1444" spans="2:12">
      <c r="D1444" t="s">
        <v>98</v>
      </c>
      <c r="E1444">
        <v>1170</v>
      </c>
      <c r="F1444">
        <v>2</v>
      </c>
      <c r="H1444">
        <v>0</v>
      </c>
      <c r="J1444" t="s">
        <v>57</v>
      </c>
      <c r="L1444" t="s">
        <v>28</v>
      </c>
    </row>
    <row r="1445" spans="2:12">
      <c r="D1445" t="s">
        <v>98</v>
      </c>
      <c r="E1445">
        <v>1180</v>
      </c>
      <c r="F1445">
        <v>0</v>
      </c>
    </row>
    <row r="1446" spans="2:12">
      <c r="D1446" t="s">
        <v>98</v>
      </c>
      <c r="E1446">
        <v>1190</v>
      </c>
      <c r="F1446">
        <v>1</v>
      </c>
      <c r="H1446">
        <v>2</v>
      </c>
      <c r="J1446" t="s">
        <v>53</v>
      </c>
      <c r="K1446" t="s">
        <v>34</v>
      </c>
      <c r="L1446" t="s">
        <v>28</v>
      </c>
    </row>
    <row r="1447" spans="2:12">
      <c r="D1447" t="s">
        <v>98</v>
      </c>
      <c r="E1447">
        <v>1200</v>
      </c>
      <c r="F1447">
        <v>1</v>
      </c>
      <c r="H1447">
        <v>2</v>
      </c>
      <c r="J1447" t="s">
        <v>57</v>
      </c>
      <c r="K1447" t="s">
        <v>34</v>
      </c>
      <c r="L1447" t="s">
        <v>28</v>
      </c>
    </row>
    <row r="1448" spans="2:12">
      <c r="B1448" t="s">
        <v>99</v>
      </c>
      <c r="C1448" s="3" t="s">
        <v>100</v>
      </c>
      <c r="D1448" s="1" t="s">
        <v>98</v>
      </c>
      <c r="E1448">
        <v>1210</v>
      </c>
      <c r="F1448">
        <v>1</v>
      </c>
      <c r="G1448" s="32">
        <v>2</v>
      </c>
      <c r="H1448">
        <v>2</v>
      </c>
      <c r="J1448" t="s">
        <v>19</v>
      </c>
      <c r="K1448" t="s">
        <v>20</v>
      </c>
      <c r="L1448" t="s">
        <v>26</v>
      </c>
    </row>
    <row r="1449" spans="2:12">
      <c r="B1449" t="s">
        <v>99</v>
      </c>
      <c r="C1449" s="3" t="s">
        <v>100</v>
      </c>
      <c r="D1449" s="1" t="s">
        <v>98</v>
      </c>
      <c r="E1449">
        <v>1210</v>
      </c>
      <c r="F1449">
        <v>2</v>
      </c>
      <c r="G1449" s="32">
        <v>3</v>
      </c>
      <c r="H1449">
        <v>0</v>
      </c>
      <c r="J1449" t="s">
        <v>42</v>
      </c>
      <c r="L1449" t="s">
        <v>26</v>
      </c>
    </row>
    <row r="1450" spans="2:12">
      <c r="D1450" t="s">
        <v>98</v>
      </c>
      <c r="E1450">
        <v>1220</v>
      </c>
      <c r="F1450">
        <v>1</v>
      </c>
      <c r="H1450">
        <v>2</v>
      </c>
      <c r="J1450" t="s">
        <v>103</v>
      </c>
      <c r="K1450" t="s">
        <v>27</v>
      </c>
      <c r="L1450" t="s">
        <v>28</v>
      </c>
    </row>
    <row r="1451" spans="2:12">
      <c r="D1451" t="s">
        <v>98</v>
      </c>
      <c r="E1451">
        <v>1230</v>
      </c>
      <c r="F1451">
        <v>1</v>
      </c>
      <c r="H1451">
        <v>2</v>
      </c>
      <c r="J1451" t="s">
        <v>103</v>
      </c>
      <c r="K1451" t="s">
        <v>27</v>
      </c>
      <c r="L1451" t="s">
        <v>28</v>
      </c>
    </row>
    <row r="1452" spans="2:12">
      <c r="D1452" t="s">
        <v>98</v>
      </c>
      <c r="E1452">
        <v>1240</v>
      </c>
      <c r="F1452">
        <v>0</v>
      </c>
    </row>
    <row r="1453" spans="2:12">
      <c r="D1453" t="s">
        <v>98</v>
      </c>
      <c r="E1453">
        <v>1250</v>
      </c>
      <c r="F1453">
        <v>0</v>
      </c>
    </row>
    <row r="1454" spans="2:12">
      <c r="D1454" t="s">
        <v>98</v>
      </c>
      <c r="E1454">
        <v>1260</v>
      </c>
      <c r="F1454">
        <v>1</v>
      </c>
      <c r="H1454">
        <v>0</v>
      </c>
      <c r="J1454" t="s">
        <v>57</v>
      </c>
      <c r="L1454" t="s">
        <v>28</v>
      </c>
    </row>
    <row r="1455" spans="2:12">
      <c r="B1455" t="s">
        <v>99</v>
      </c>
      <c r="C1455" s="3" t="s">
        <v>100</v>
      </c>
      <c r="D1455" s="1" t="s">
        <v>98</v>
      </c>
      <c r="E1455">
        <v>1270</v>
      </c>
      <c r="F1455">
        <v>1</v>
      </c>
      <c r="G1455" s="32">
        <v>1</v>
      </c>
      <c r="H1455">
        <v>2</v>
      </c>
      <c r="J1455" t="s">
        <v>19</v>
      </c>
      <c r="K1455" t="s">
        <v>20</v>
      </c>
      <c r="L1455" t="s">
        <v>26</v>
      </c>
    </row>
    <row r="1456" spans="2:12">
      <c r="B1456" t="s">
        <v>99</v>
      </c>
      <c r="C1456" s="3" t="s">
        <v>100</v>
      </c>
      <c r="D1456" s="1" t="s">
        <v>98</v>
      </c>
      <c r="E1456">
        <v>1270</v>
      </c>
      <c r="F1456">
        <v>2</v>
      </c>
      <c r="G1456" s="32">
        <v>0</v>
      </c>
      <c r="H1456">
        <v>0</v>
      </c>
      <c r="J1456" t="s">
        <v>47</v>
      </c>
      <c r="L1456" t="s">
        <v>28</v>
      </c>
    </row>
    <row r="1457" spans="4:12">
      <c r="D1457" t="s">
        <v>98</v>
      </c>
      <c r="E1457">
        <v>1280</v>
      </c>
      <c r="F1457">
        <v>1</v>
      </c>
      <c r="H1457">
        <v>0</v>
      </c>
      <c r="J1457" t="s">
        <v>103</v>
      </c>
      <c r="L1457" t="s">
        <v>28</v>
      </c>
    </row>
    <row r="1458" spans="4:12">
      <c r="D1458" t="s">
        <v>98</v>
      </c>
      <c r="E1458">
        <v>1290</v>
      </c>
      <c r="F1458">
        <v>1</v>
      </c>
      <c r="H1458">
        <v>2</v>
      </c>
      <c r="J1458" t="s">
        <v>103</v>
      </c>
      <c r="K1458" t="s">
        <v>27</v>
      </c>
      <c r="L1458" t="s">
        <v>28</v>
      </c>
    </row>
    <row r="1459" spans="4:12">
      <c r="D1459" t="s">
        <v>98</v>
      </c>
      <c r="E1459">
        <v>1300</v>
      </c>
      <c r="F1459">
        <v>1</v>
      </c>
      <c r="H1459">
        <v>2</v>
      </c>
      <c r="J1459" t="s">
        <v>19</v>
      </c>
      <c r="K1459" t="s">
        <v>20</v>
      </c>
      <c r="L1459" t="s">
        <v>26</v>
      </c>
    </row>
    <row r="1460" spans="4:12">
      <c r="D1460" t="s">
        <v>98</v>
      </c>
      <c r="E1460">
        <v>1310</v>
      </c>
      <c r="F1460">
        <v>0</v>
      </c>
    </row>
    <row r="1461" spans="4:12">
      <c r="D1461" t="s">
        <v>98</v>
      </c>
      <c r="E1461">
        <v>1320</v>
      </c>
      <c r="F1461">
        <v>1</v>
      </c>
      <c r="H1461">
        <v>2</v>
      </c>
      <c r="J1461" t="s">
        <v>19</v>
      </c>
      <c r="K1461" t="s">
        <v>20</v>
      </c>
      <c r="L1461" t="s">
        <v>26</v>
      </c>
    </row>
    <row r="1462" spans="4:12">
      <c r="D1462" t="s">
        <v>98</v>
      </c>
      <c r="E1462">
        <v>1330</v>
      </c>
      <c r="F1462">
        <v>1</v>
      </c>
      <c r="H1462">
        <v>2</v>
      </c>
      <c r="J1462" t="s">
        <v>53</v>
      </c>
      <c r="K1462" t="s">
        <v>34</v>
      </c>
      <c r="L1462" t="s">
        <v>28</v>
      </c>
    </row>
    <row r="1463" spans="4:12">
      <c r="D1463" t="s">
        <v>98</v>
      </c>
      <c r="E1463">
        <v>1340</v>
      </c>
      <c r="F1463">
        <v>1</v>
      </c>
      <c r="H1463">
        <v>2</v>
      </c>
      <c r="J1463" t="s">
        <v>19</v>
      </c>
      <c r="K1463" t="s">
        <v>20</v>
      </c>
      <c r="L1463" t="s">
        <v>26</v>
      </c>
    </row>
    <row r="1464" spans="4:12">
      <c r="D1464" t="s">
        <v>98</v>
      </c>
      <c r="E1464">
        <v>1340</v>
      </c>
      <c r="F1464">
        <v>2</v>
      </c>
      <c r="H1464">
        <v>2</v>
      </c>
      <c r="J1464" t="s">
        <v>53</v>
      </c>
      <c r="K1464" t="s">
        <v>31</v>
      </c>
      <c r="L1464" t="s">
        <v>28</v>
      </c>
    </row>
    <row r="1465" spans="4:12">
      <c r="D1465" t="s">
        <v>98</v>
      </c>
      <c r="E1465">
        <v>1350</v>
      </c>
      <c r="F1465">
        <v>1</v>
      </c>
      <c r="H1465">
        <v>2</v>
      </c>
      <c r="J1465" t="s">
        <v>19</v>
      </c>
      <c r="K1465" t="s">
        <v>20</v>
      </c>
      <c r="L1465" t="s">
        <v>26</v>
      </c>
    </row>
    <row r="1466" spans="4:12">
      <c r="D1466" t="s">
        <v>98</v>
      </c>
      <c r="E1466">
        <v>1350</v>
      </c>
      <c r="F1466">
        <v>2</v>
      </c>
      <c r="H1466">
        <v>0</v>
      </c>
      <c r="J1466" t="s">
        <v>57</v>
      </c>
      <c r="L1466" t="s">
        <v>28</v>
      </c>
    </row>
    <row r="1467" spans="4:12">
      <c r="D1467" t="s">
        <v>98</v>
      </c>
      <c r="E1467">
        <v>1360</v>
      </c>
      <c r="F1467">
        <v>1</v>
      </c>
      <c r="H1467">
        <v>0</v>
      </c>
      <c r="J1467" t="s">
        <v>53</v>
      </c>
      <c r="L1467" t="s">
        <v>28</v>
      </c>
    </row>
    <row r="1468" spans="4:12">
      <c r="D1468" t="s">
        <v>98</v>
      </c>
      <c r="E1468">
        <v>1370</v>
      </c>
      <c r="F1468">
        <v>1</v>
      </c>
      <c r="H1468">
        <v>2</v>
      </c>
      <c r="J1468" t="s">
        <v>19</v>
      </c>
      <c r="K1468" t="s">
        <v>20</v>
      </c>
      <c r="L1468" t="s">
        <v>26</v>
      </c>
    </row>
    <row r="1469" spans="4:12">
      <c r="D1469" t="s">
        <v>98</v>
      </c>
      <c r="E1469">
        <v>1370</v>
      </c>
      <c r="F1469">
        <v>2</v>
      </c>
      <c r="H1469">
        <v>2</v>
      </c>
      <c r="J1469" t="s">
        <v>53</v>
      </c>
      <c r="K1469" t="s">
        <v>34</v>
      </c>
      <c r="L1469" t="s">
        <v>28</v>
      </c>
    </row>
    <row r="1470" spans="4:12">
      <c r="D1470" t="s">
        <v>98</v>
      </c>
      <c r="E1470">
        <v>1380</v>
      </c>
      <c r="F1470">
        <v>1</v>
      </c>
      <c r="H1470">
        <v>0</v>
      </c>
      <c r="J1470" t="s">
        <v>53</v>
      </c>
      <c r="L1470" t="s">
        <v>28</v>
      </c>
    </row>
    <row r="1471" spans="4:12">
      <c r="D1471" t="s">
        <v>98</v>
      </c>
      <c r="E1471">
        <v>1390</v>
      </c>
      <c r="F1471">
        <v>1</v>
      </c>
      <c r="H1471">
        <v>2</v>
      </c>
      <c r="J1471" t="s">
        <v>19</v>
      </c>
      <c r="K1471" t="s">
        <v>20</v>
      </c>
      <c r="L1471" t="s">
        <v>26</v>
      </c>
    </row>
    <row r="1472" spans="4:12">
      <c r="D1472" t="s">
        <v>98</v>
      </c>
      <c r="E1472">
        <v>1390</v>
      </c>
      <c r="F1472">
        <v>2</v>
      </c>
      <c r="H1472">
        <v>2</v>
      </c>
      <c r="J1472" t="s">
        <v>53</v>
      </c>
      <c r="K1472" t="s">
        <v>31</v>
      </c>
      <c r="L1472" t="s">
        <v>28</v>
      </c>
    </row>
    <row r="1473" spans="4:12">
      <c r="D1473" t="s">
        <v>98</v>
      </c>
      <c r="E1473">
        <v>1400</v>
      </c>
      <c r="F1473">
        <v>1</v>
      </c>
      <c r="H1473">
        <v>2</v>
      </c>
      <c r="J1473" t="s">
        <v>19</v>
      </c>
      <c r="K1473" t="s">
        <v>20</v>
      </c>
      <c r="L1473" t="s">
        <v>26</v>
      </c>
    </row>
    <row r="1474" spans="4:12">
      <c r="D1474" t="s">
        <v>98</v>
      </c>
      <c r="E1474">
        <v>1400</v>
      </c>
      <c r="F1474">
        <v>2</v>
      </c>
      <c r="H1474">
        <v>2</v>
      </c>
      <c r="J1474" t="s">
        <v>53</v>
      </c>
      <c r="K1474" t="s">
        <v>31</v>
      </c>
      <c r="L1474" t="s">
        <v>28</v>
      </c>
    </row>
    <row r="1475" spans="4:12">
      <c r="D1475" t="s">
        <v>98</v>
      </c>
      <c r="E1475">
        <v>1410</v>
      </c>
      <c r="F1475">
        <v>1</v>
      </c>
      <c r="H1475">
        <v>2</v>
      </c>
      <c r="J1475" t="s">
        <v>19</v>
      </c>
      <c r="K1475" t="s">
        <v>20</v>
      </c>
      <c r="L1475" t="s">
        <v>26</v>
      </c>
    </row>
    <row r="1476" spans="4:12">
      <c r="D1476" t="s">
        <v>98</v>
      </c>
      <c r="E1476">
        <v>1420</v>
      </c>
      <c r="F1476">
        <v>1</v>
      </c>
      <c r="H1476">
        <v>2</v>
      </c>
      <c r="J1476" t="s">
        <v>19</v>
      </c>
      <c r="K1476" t="s">
        <v>20</v>
      </c>
      <c r="L1476" t="s">
        <v>26</v>
      </c>
    </row>
    <row r="1477" spans="4:12">
      <c r="D1477" t="s">
        <v>98</v>
      </c>
      <c r="E1477">
        <v>1420</v>
      </c>
      <c r="F1477">
        <v>2</v>
      </c>
      <c r="H1477">
        <v>2</v>
      </c>
      <c r="J1477" t="s">
        <v>103</v>
      </c>
      <c r="K1477" t="s">
        <v>27</v>
      </c>
      <c r="L1477" t="s">
        <v>28</v>
      </c>
    </row>
    <row r="1478" spans="4:12">
      <c r="D1478" t="s">
        <v>98</v>
      </c>
      <c r="E1478">
        <v>1430</v>
      </c>
      <c r="F1478">
        <v>1</v>
      </c>
      <c r="H1478">
        <v>2</v>
      </c>
      <c r="J1478" t="s">
        <v>19</v>
      </c>
      <c r="K1478" t="s">
        <v>20</v>
      </c>
      <c r="L1478" t="s">
        <v>26</v>
      </c>
    </row>
    <row r="1479" spans="4:12">
      <c r="D1479" t="s">
        <v>98</v>
      </c>
      <c r="E1479">
        <v>1440</v>
      </c>
      <c r="F1479">
        <v>0</v>
      </c>
    </row>
    <row r="1480" spans="4:12">
      <c r="D1480" t="s">
        <v>98</v>
      </c>
      <c r="E1480">
        <v>1450</v>
      </c>
      <c r="F1480">
        <v>1</v>
      </c>
      <c r="H1480">
        <v>2</v>
      </c>
      <c r="J1480" t="s">
        <v>53</v>
      </c>
      <c r="K1480" t="s">
        <v>34</v>
      </c>
      <c r="L1480" t="s">
        <v>28</v>
      </c>
    </row>
    <row r="1481" spans="4:12">
      <c r="D1481" t="s">
        <v>98</v>
      </c>
      <c r="E1481">
        <v>1460</v>
      </c>
      <c r="F1481">
        <v>1</v>
      </c>
      <c r="H1481">
        <v>2</v>
      </c>
      <c r="J1481" t="s">
        <v>53</v>
      </c>
      <c r="K1481" t="s">
        <v>31</v>
      </c>
      <c r="L1481" t="s">
        <v>28</v>
      </c>
    </row>
    <row r="1482" spans="4:12">
      <c r="D1482" t="s">
        <v>98</v>
      </c>
      <c r="E1482">
        <v>1470</v>
      </c>
      <c r="F1482">
        <v>1</v>
      </c>
      <c r="H1482">
        <v>0</v>
      </c>
      <c r="J1482" t="s">
        <v>53</v>
      </c>
      <c r="L1482" t="s">
        <v>28</v>
      </c>
    </row>
    <row r="1483" spans="4:12">
      <c r="D1483" t="s">
        <v>98</v>
      </c>
      <c r="E1483">
        <v>1480</v>
      </c>
      <c r="F1483">
        <v>1</v>
      </c>
      <c r="H1483">
        <v>2</v>
      </c>
      <c r="J1483" t="s">
        <v>53</v>
      </c>
      <c r="L1483" t="s">
        <v>28</v>
      </c>
    </row>
    <row r="1484" spans="4:12">
      <c r="D1484" t="s">
        <v>98</v>
      </c>
      <c r="E1484">
        <v>1480</v>
      </c>
      <c r="F1484">
        <v>2</v>
      </c>
      <c r="H1484">
        <v>2</v>
      </c>
      <c r="J1484" t="s">
        <v>19</v>
      </c>
      <c r="K1484" t="s">
        <v>20</v>
      </c>
      <c r="L1484" t="s">
        <v>26</v>
      </c>
    </row>
    <row r="1485" spans="4:12">
      <c r="D1485" t="s">
        <v>98</v>
      </c>
      <c r="E1485">
        <v>1490</v>
      </c>
      <c r="F1485">
        <v>1</v>
      </c>
      <c r="H1485">
        <v>2</v>
      </c>
      <c r="J1485" t="s">
        <v>19</v>
      </c>
      <c r="K1485" t="s">
        <v>34</v>
      </c>
      <c r="L1485" t="s">
        <v>26</v>
      </c>
    </row>
    <row r="1486" spans="4:12">
      <c r="D1486" t="s">
        <v>98</v>
      </c>
      <c r="E1486">
        <v>1490</v>
      </c>
      <c r="F1486">
        <v>2</v>
      </c>
      <c r="H1486">
        <v>2</v>
      </c>
      <c r="J1486" t="s">
        <v>57</v>
      </c>
      <c r="K1486" t="s">
        <v>34</v>
      </c>
      <c r="L1486" t="s">
        <v>28</v>
      </c>
    </row>
    <row r="1487" spans="4:12">
      <c r="D1487" t="s">
        <v>98</v>
      </c>
      <c r="E1487">
        <v>1500</v>
      </c>
      <c r="F1487">
        <v>1</v>
      </c>
      <c r="H1487">
        <v>2</v>
      </c>
      <c r="J1487" t="s">
        <v>19</v>
      </c>
      <c r="K1487" t="s">
        <v>34</v>
      </c>
      <c r="L1487" t="s">
        <v>26</v>
      </c>
    </row>
    <row r="1488" spans="4:12">
      <c r="D1488" t="s">
        <v>98</v>
      </c>
      <c r="E1488">
        <v>1500</v>
      </c>
      <c r="F1488">
        <v>2</v>
      </c>
      <c r="H1488">
        <v>2</v>
      </c>
      <c r="J1488" t="s">
        <v>53</v>
      </c>
      <c r="K1488" t="s">
        <v>34</v>
      </c>
      <c r="L1488" t="s">
        <v>28</v>
      </c>
    </row>
    <row r="1489" spans="2:12">
      <c r="B1489" t="s">
        <v>99</v>
      </c>
      <c r="C1489" s="3" t="s">
        <v>100</v>
      </c>
      <c r="D1489" s="1" t="s">
        <v>98</v>
      </c>
      <c r="E1489">
        <v>1510</v>
      </c>
      <c r="F1489">
        <v>1</v>
      </c>
      <c r="G1489" s="32">
        <v>1</v>
      </c>
      <c r="H1489">
        <v>2</v>
      </c>
      <c r="J1489" t="s">
        <v>19</v>
      </c>
      <c r="K1489" t="s">
        <v>20</v>
      </c>
      <c r="L1489" t="s">
        <v>26</v>
      </c>
    </row>
    <row r="1490" spans="2:12">
      <c r="B1490" t="s">
        <v>99</v>
      </c>
      <c r="C1490" s="3" t="s">
        <v>100</v>
      </c>
      <c r="D1490" s="1" t="s">
        <v>98</v>
      </c>
      <c r="E1490">
        <v>1510</v>
      </c>
      <c r="F1490">
        <v>2</v>
      </c>
      <c r="G1490" s="32">
        <v>2</v>
      </c>
      <c r="H1490">
        <v>2</v>
      </c>
      <c r="J1490" t="s">
        <v>47</v>
      </c>
      <c r="K1490" t="s">
        <v>33</v>
      </c>
      <c r="L1490" t="s">
        <v>28</v>
      </c>
    </row>
    <row r="1491" spans="2:12">
      <c r="B1491" t="s">
        <v>99</v>
      </c>
      <c r="C1491" s="3" t="s">
        <v>100</v>
      </c>
      <c r="D1491" s="1" t="s">
        <v>98</v>
      </c>
      <c r="E1491">
        <v>1520</v>
      </c>
      <c r="F1491">
        <v>1</v>
      </c>
      <c r="G1491" s="32">
        <v>1</v>
      </c>
      <c r="H1491">
        <v>2</v>
      </c>
      <c r="J1491" t="s">
        <v>19</v>
      </c>
      <c r="K1491" t="s">
        <v>20</v>
      </c>
      <c r="L1491" t="s">
        <v>26</v>
      </c>
    </row>
    <row r="1492" spans="2:12">
      <c r="D1492" t="s">
        <v>98</v>
      </c>
      <c r="E1492">
        <v>1530</v>
      </c>
      <c r="I1492" t="s">
        <v>56</v>
      </c>
    </row>
    <row r="1493" spans="2:12">
      <c r="B1493" t="s">
        <v>99</v>
      </c>
      <c r="C1493" s="3" t="s">
        <v>100</v>
      </c>
      <c r="D1493" s="1" t="s">
        <v>98</v>
      </c>
      <c r="E1493">
        <v>1540</v>
      </c>
      <c r="F1493">
        <v>1</v>
      </c>
      <c r="G1493" s="32">
        <v>3</v>
      </c>
      <c r="H1493">
        <v>0</v>
      </c>
      <c r="J1493" s="12" t="s">
        <v>46</v>
      </c>
    </row>
    <row r="1494" spans="2:12">
      <c r="B1494" t="s">
        <v>99</v>
      </c>
      <c r="C1494" s="3" t="s">
        <v>100</v>
      </c>
      <c r="D1494" s="1" t="s">
        <v>98</v>
      </c>
      <c r="E1494">
        <v>1540</v>
      </c>
      <c r="F1494">
        <v>2</v>
      </c>
      <c r="G1494" s="32">
        <v>2</v>
      </c>
      <c r="H1494">
        <v>1</v>
      </c>
      <c r="J1494" t="s">
        <v>19</v>
      </c>
      <c r="K1494" t="s">
        <v>20</v>
      </c>
      <c r="L1494" t="s">
        <v>26</v>
      </c>
    </row>
    <row r="1495" spans="2:12">
      <c r="B1495" t="s">
        <v>99</v>
      </c>
      <c r="C1495" s="3" t="s">
        <v>100</v>
      </c>
      <c r="D1495" s="1" t="s">
        <v>98</v>
      </c>
      <c r="E1495">
        <v>1540</v>
      </c>
      <c r="F1495">
        <v>3</v>
      </c>
      <c r="G1495" s="32">
        <v>1</v>
      </c>
      <c r="H1495">
        <v>2</v>
      </c>
      <c r="J1495" t="s">
        <v>42</v>
      </c>
      <c r="K1495" t="s">
        <v>33</v>
      </c>
      <c r="L1495" t="s">
        <v>26</v>
      </c>
    </row>
    <row r="1496" spans="2:12">
      <c r="D1496" t="s">
        <v>98</v>
      </c>
      <c r="E1496">
        <v>1550</v>
      </c>
      <c r="F1496">
        <v>1</v>
      </c>
      <c r="H1496">
        <v>0</v>
      </c>
      <c r="J1496" t="s">
        <v>19</v>
      </c>
      <c r="L1496" t="s">
        <v>26</v>
      </c>
    </row>
    <row r="1497" spans="2:12">
      <c r="D1497" t="s">
        <v>98</v>
      </c>
      <c r="E1497">
        <v>1550</v>
      </c>
      <c r="F1497">
        <v>2</v>
      </c>
      <c r="H1497">
        <v>2</v>
      </c>
      <c r="J1497" t="s">
        <v>57</v>
      </c>
      <c r="L1497" t="s">
        <v>28</v>
      </c>
    </row>
    <row r="1498" spans="2:12">
      <c r="D1498" t="s">
        <v>98</v>
      </c>
      <c r="E1498">
        <v>1560</v>
      </c>
      <c r="F1498">
        <v>1</v>
      </c>
      <c r="H1498">
        <v>0</v>
      </c>
      <c r="J1498" t="s">
        <v>57</v>
      </c>
      <c r="L1498" t="s">
        <v>28</v>
      </c>
    </row>
    <row r="1499" spans="2:12">
      <c r="B1499" t="s">
        <v>99</v>
      </c>
      <c r="C1499" s="3" t="s">
        <v>100</v>
      </c>
      <c r="D1499" s="1" t="s">
        <v>98</v>
      </c>
      <c r="E1499">
        <v>1570</v>
      </c>
      <c r="F1499">
        <v>1</v>
      </c>
      <c r="G1499" s="32">
        <v>1</v>
      </c>
      <c r="H1499">
        <v>2</v>
      </c>
      <c r="J1499" t="s">
        <v>19</v>
      </c>
      <c r="K1499" t="s">
        <v>20</v>
      </c>
      <c r="L1499" t="s">
        <v>26</v>
      </c>
    </row>
    <row r="1500" spans="2:12">
      <c r="B1500" t="s">
        <v>99</v>
      </c>
      <c r="C1500" s="3" t="s">
        <v>100</v>
      </c>
      <c r="D1500" s="1" t="s">
        <v>98</v>
      </c>
      <c r="E1500">
        <v>1580</v>
      </c>
      <c r="F1500">
        <v>1</v>
      </c>
      <c r="G1500" s="32">
        <v>1</v>
      </c>
      <c r="H1500">
        <v>2</v>
      </c>
      <c r="J1500" t="s">
        <v>19</v>
      </c>
      <c r="K1500" t="s">
        <v>20</v>
      </c>
      <c r="L1500" t="s">
        <v>26</v>
      </c>
    </row>
    <row r="1501" spans="2:12">
      <c r="B1501" t="s">
        <v>99</v>
      </c>
      <c r="C1501" s="3" t="s">
        <v>100</v>
      </c>
      <c r="D1501" s="1" t="s">
        <v>98</v>
      </c>
      <c r="E1501">
        <v>1590</v>
      </c>
      <c r="F1501">
        <v>1</v>
      </c>
      <c r="G1501" s="32">
        <v>1</v>
      </c>
      <c r="H1501">
        <v>2</v>
      </c>
      <c r="J1501" t="s">
        <v>19</v>
      </c>
      <c r="K1501" t="s">
        <v>20</v>
      </c>
      <c r="L1501" t="s">
        <v>26</v>
      </c>
    </row>
    <row r="1502" spans="2:12">
      <c r="B1502" t="s">
        <v>99</v>
      </c>
      <c r="C1502" s="3" t="s">
        <v>100</v>
      </c>
      <c r="D1502" s="1" t="s">
        <v>98</v>
      </c>
      <c r="E1502">
        <v>1590</v>
      </c>
      <c r="F1502">
        <v>2</v>
      </c>
      <c r="G1502" s="32">
        <v>2</v>
      </c>
      <c r="H1502">
        <v>2</v>
      </c>
      <c r="J1502" t="s">
        <v>35</v>
      </c>
      <c r="K1502" t="s">
        <v>36</v>
      </c>
      <c r="L1502" t="s">
        <v>28</v>
      </c>
    </row>
    <row r="1503" spans="2:12">
      <c r="D1503" t="s">
        <v>98</v>
      </c>
      <c r="E1503">
        <v>1600</v>
      </c>
      <c r="F1503">
        <v>1</v>
      </c>
      <c r="H1503">
        <v>0</v>
      </c>
      <c r="J1503" t="s">
        <v>38</v>
      </c>
      <c r="L1503" t="s">
        <v>28</v>
      </c>
    </row>
    <row r="1504" spans="2:12">
      <c r="D1504" t="s">
        <v>98</v>
      </c>
      <c r="E1504">
        <v>1610</v>
      </c>
      <c r="F1504">
        <v>1</v>
      </c>
      <c r="H1504" t="s">
        <v>104</v>
      </c>
      <c r="J1504" t="s">
        <v>19</v>
      </c>
      <c r="K1504" t="s">
        <v>20</v>
      </c>
      <c r="L1504" t="s">
        <v>26</v>
      </c>
    </row>
    <row r="1505" spans="2:12">
      <c r="D1505" t="s">
        <v>98</v>
      </c>
      <c r="E1505">
        <v>1610</v>
      </c>
      <c r="F1505">
        <v>2</v>
      </c>
      <c r="H1505" t="s">
        <v>104</v>
      </c>
      <c r="J1505" t="s">
        <v>38</v>
      </c>
      <c r="K1505" t="s">
        <v>34</v>
      </c>
      <c r="L1505" t="s">
        <v>28</v>
      </c>
    </row>
    <row r="1506" spans="2:12">
      <c r="B1506" t="s">
        <v>99</v>
      </c>
      <c r="C1506" s="3" t="s">
        <v>100</v>
      </c>
      <c r="D1506" s="1" t="s">
        <v>98</v>
      </c>
      <c r="E1506">
        <v>1620</v>
      </c>
      <c r="F1506">
        <v>1</v>
      </c>
      <c r="G1506" s="32">
        <v>1</v>
      </c>
      <c r="H1506">
        <v>2</v>
      </c>
      <c r="J1506" t="s">
        <v>19</v>
      </c>
      <c r="K1506" t="s">
        <v>20</v>
      </c>
      <c r="L1506" t="s">
        <v>26</v>
      </c>
    </row>
    <row r="1507" spans="2:12">
      <c r="B1507" t="s">
        <v>99</v>
      </c>
      <c r="C1507" s="3" t="s">
        <v>100</v>
      </c>
      <c r="D1507" s="1" t="s">
        <v>98</v>
      </c>
      <c r="E1507">
        <v>1620</v>
      </c>
      <c r="F1507">
        <v>2</v>
      </c>
      <c r="G1507" s="32">
        <v>0</v>
      </c>
      <c r="H1507">
        <v>0</v>
      </c>
      <c r="J1507" t="s">
        <v>35</v>
      </c>
      <c r="L1507" t="s">
        <v>28</v>
      </c>
    </row>
    <row r="1508" spans="2:12">
      <c r="D1508" t="s">
        <v>98</v>
      </c>
      <c r="E1508">
        <v>1630</v>
      </c>
      <c r="F1508">
        <v>1</v>
      </c>
      <c r="H1508">
        <v>2</v>
      </c>
      <c r="J1508" t="s">
        <v>19</v>
      </c>
      <c r="K1508" t="s">
        <v>20</v>
      </c>
      <c r="L1508" t="s">
        <v>26</v>
      </c>
    </row>
    <row r="1509" spans="2:12">
      <c r="B1509" t="s">
        <v>99</v>
      </c>
      <c r="C1509" s="3" t="s">
        <v>100</v>
      </c>
      <c r="D1509" s="1" t="s">
        <v>98</v>
      </c>
      <c r="E1509">
        <v>1640</v>
      </c>
      <c r="F1509">
        <v>1</v>
      </c>
      <c r="G1509" s="32">
        <v>1</v>
      </c>
      <c r="H1509">
        <v>1</v>
      </c>
      <c r="J1509" t="s">
        <v>19</v>
      </c>
      <c r="K1509" t="s">
        <v>20</v>
      </c>
      <c r="L1509" t="s">
        <v>26</v>
      </c>
    </row>
    <row r="1510" spans="2:12">
      <c r="D1510" t="s">
        <v>98</v>
      </c>
      <c r="E1510">
        <v>1650</v>
      </c>
      <c r="I1510" t="s">
        <v>56</v>
      </c>
    </row>
    <row r="1511" spans="2:12">
      <c r="B1511" t="s">
        <v>99</v>
      </c>
      <c r="C1511" s="3" t="s">
        <v>100</v>
      </c>
      <c r="D1511" s="1" t="s">
        <v>98</v>
      </c>
      <c r="E1511">
        <v>1660</v>
      </c>
      <c r="F1511">
        <v>1</v>
      </c>
      <c r="G1511" s="32">
        <v>3</v>
      </c>
      <c r="H1511">
        <v>0</v>
      </c>
      <c r="J1511" t="s">
        <v>97</v>
      </c>
      <c r="L1511" t="s">
        <v>28</v>
      </c>
    </row>
    <row r="1512" spans="2:12">
      <c r="B1512" t="s">
        <v>99</v>
      </c>
      <c r="C1512" s="3" t="s">
        <v>100</v>
      </c>
      <c r="D1512" s="1" t="s">
        <v>98</v>
      </c>
      <c r="E1512">
        <v>1670</v>
      </c>
      <c r="F1512">
        <v>1</v>
      </c>
      <c r="G1512" s="32">
        <v>1</v>
      </c>
      <c r="H1512">
        <v>1</v>
      </c>
      <c r="J1512" t="s">
        <v>19</v>
      </c>
      <c r="K1512" t="s">
        <v>20</v>
      </c>
      <c r="L1512" t="s">
        <v>26</v>
      </c>
    </row>
    <row r="1513" spans="2:12">
      <c r="B1513" t="s">
        <v>99</v>
      </c>
      <c r="C1513" s="3" t="s">
        <v>100</v>
      </c>
      <c r="D1513" s="1" t="s">
        <v>98</v>
      </c>
      <c r="E1513">
        <v>1670</v>
      </c>
      <c r="F1513">
        <v>2</v>
      </c>
      <c r="G1513" s="32">
        <v>0</v>
      </c>
      <c r="H1513">
        <v>0</v>
      </c>
      <c r="J1513" t="s">
        <v>97</v>
      </c>
      <c r="L1513" t="s">
        <v>28</v>
      </c>
    </row>
    <row r="1514" spans="2:12">
      <c r="B1514" t="s">
        <v>99</v>
      </c>
      <c r="C1514" s="3" t="s">
        <v>100</v>
      </c>
      <c r="D1514" s="1" t="s">
        <v>98</v>
      </c>
      <c r="E1514">
        <v>1670</v>
      </c>
      <c r="F1514">
        <v>3</v>
      </c>
      <c r="G1514" s="32">
        <v>0</v>
      </c>
      <c r="H1514">
        <v>0</v>
      </c>
      <c r="J1514" t="s">
        <v>42</v>
      </c>
      <c r="L1514" t="s">
        <v>26</v>
      </c>
    </row>
    <row r="1515" spans="2:12">
      <c r="D1515" t="s">
        <v>98</v>
      </c>
      <c r="E1515">
        <v>1680</v>
      </c>
      <c r="F1515">
        <v>1</v>
      </c>
      <c r="H1515">
        <v>2</v>
      </c>
      <c r="J1515" t="s">
        <v>19</v>
      </c>
      <c r="K1515" t="s">
        <v>20</v>
      </c>
      <c r="L1515" t="s">
        <v>26</v>
      </c>
    </row>
    <row r="1516" spans="2:12">
      <c r="D1516" t="s">
        <v>98</v>
      </c>
      <c r="E1516">
        <v>1680</v>
      </c>
      <c r="F1516">
        <v>2</v>
      </c>
      <c r="H1516">
        <v>0</v>
      </c>
      <c r="J1516" t="s">
        <v>105</v>
      </c>
      <c r="L1516" t="s">
        <v>28</v>
      </c>
    </row>
    <row r="1517" spans="2:12">
      <c r="B1517" t="s">
        <v>99</v>
      </c>
      <c r="C1517" s="3" t="s">
        <v>100</v>
      </c>
      <c r="D1517" s="1" t="s">
        <v>98</v>
      </c>
      <c r="E1517">
        <v>1690</v>
      </c>
      <c r="F1517">
        <v>1</v>
      </c>
      <c r="G1517" s="32">
        <v>2</v>
      </c>
      <c r="H1517">
        <v>2</v>
      </c>
      <c r="J1517" t="s">
        <v>19</v>
      </c>
      <c r="K1517" t="s">
        <v>20</v>
      </c>
      <c r="L1517" t="s">
        <v>26</v>
      </c>
    </row>
    <row r="1518" spans="2:12">
      <c r="B1518" t="s">
        <v>99</v>
      </c>
      <c r="C1518" s="3" t="s">
        <v>100</v>
      </c>
      <c r="D1518" s="1" t="s">
        <v>98</v>
      </c>
      <c r="E1518">
        <v>1690</v>
      </c>
      <c r="F1518">
        <v>2</v>
      </c>
      <c r="G1518" s="32">
        <v>3</v>
      </c>
      <c r="H1518">
        <v>0</v>
      </c>
      <c r="J1518" t="s">
        <v>97</v>
      </c>
      <c r="L1518" t="s">
        <v>28</v>
      </c>
    </row>
    <row r="1519" spans="2:12">
      <c r="B1519" t="s">
        <v>99</v>
      </c>
      <c r="C1519" s="3" t="s">
        <v>100</v>
      </c>
      <c r="D1519" s="1" t="s">
        <v>98</v>
      </c>
      <c r="E1519">
        <v>1700</v>
      </c>
      <c r="F1519">
        <v>1</v>
      </c>
      <c r="G1519" s="32">
        <v>1</v>
      </c>
      <c r="H1519">
        <v>1</v>
      </c>
      <c r="J1519" t="s">
        <v>19</v>
      </c>
      <c r="K1519" t="s">
        <v>20</v>
      </c>
      <c r="L1519" t="s">
        <v>26</v>
      </c>
    </row>
    <row r="1520" spans="2:12">
      <c r="D1520" t="s">
        <v>98</v>
      </c>
      <c r="E1520">
        <v>1710</v>
      </c>
      <c r="F1520">
        <v>0</v>
      </c>
    </row>
    <row r="1521" spans="2:12">
      <c r="D1521" t="s">
        <v>98</v>
      </c>
      <c r="E1521">
        <v>1720</v>
      </c>
      <c r="I1521" t="s">
        <v>56</v>
      </c>
    </row>
    <row r="1522" spans="2:12">
      <c r="D1522" t="s">
        <v>98</v>
      </c>
      <c r="E1522">
        <v>1730</v>
      </c>
      <c r="F1522">
        <v>0</v>
      </c>
    </row>
    <row r="1523" spans="2:12">
      <c r="D1523" t="s">
        <v>98</v>
      </c>
      <c r="E1523">
        <v>1740</v>
      </c>
      <c r="F1523">
        <v>1</v>
      </c>
      <c r="H1523">
        <v>2</v>
      </c>
      <c r="J1523" t="s">
        <v>19</v>
      </c>
      <c r="K1523" t="s">
        <v>20</v>
      </c>
      <c r="L1523" t="s">
        <v>26</v>
      </c>
    </row>
    <row r="1524" spans="2:12">
      <c r="D1524" t="s">
        <v>98</v>
      </c>
      <c r="E1524">
        <v>1740</v>
      </c>
      <c r="F1524">
        <v>2</v>
      </c>
      <c r="H1524">
        <v>2</v>
      </c>
      <c r="J1524" t="s">
        <v>53</v>
      </c>
      <c r="K1524" t="s">
        <v>31</v>
      </c>
      <c r="L1524" t="s">
        <v>28</v>
      </c>
    </row>
    <row r="1525" spans="2:12">
      <c r="D1525" t="s">
        <v>98</v>
      </c>
      <c r="E1525">
        <v>1750</v>
      </c>
      <c r="F1525">
        <v>1</v>
      </c>
      <c r="H1525">
        <v>0</v>
      </c>
      <c r="J1525" t="s">
        <v>19</v>
      </c>
      <c r="L1525" t="s">
        <v>26</v>
      </c>
    </row>
    <row r="1526" spans="2:12">
      <c r="D1526" t="s">
        <v>98</v>
      </c>
      <c r="E1526">
        <v>1750</v>
      </c>
      <c r="F1526">
        <v>2</v>
      </c>
      <c r="H1526">
        <v>0</v>
      </c>
      <c r="J1526" t="s">
        <v>57</v>
      </c>
      <c r="L1526" t="s">
        <v>28</v>
      </c>
    </row>
    <row r="1527" spans="2:12">
      <c r="D1527" t="s">
        <v>98</v>
      </c>
      <c r="E1527">
        <v>1760</v>
      </c>
      <c r="F1527">
        <v>1</v>
      </c>
      <c r="H1527">
        <v>2</v>
      </c>
      <c r="J1527" t="s">
        <v>57</v>
      </c>
      <c r="K1527" t="s">
        <v>34</v>
      </c>
      <c r="L1527" t="s">
        <v>28</v>
      </c>
    </row>
    <row r="1528" spans="2:12">
      <c r="D1528" t="s">
        <v>98</v>
      </c>
      <c r="E1528">
        <v>1770</v>
      </c>
      <c r="F1528">
        <v>1</v>
      </c>
      <c r="H1528">
        <v>2</v>
      </c>
      <c r="J1528" t="s">
        <v>19</v>
      </c>
      <c r="K1528" t="s">
        <v>20</v>
      </c>
      <c r="L1528" t="s">
        <v>26</v>
      </c>
    </row>
    <row r="1529" spans="2:12">
      <c r="D1529" t="s">
        <v>98</v>
      </c>
      <c r="E1529">
        <v>1770</v>
      </c>
      <c r="F1529">
        <v>2</v>
      </c>
      <c r="H1529">
        <v>2</v>
      </c>
      <c r="J1529" t="s">
        <v>57</v>
      </c>
      <c r="K1529" t="s">
        <v>34</v>
      </c>
      <c r="L1529" t="s">
        <v>28</v>
      </c>
    </row>
    <row r="1530" spans="2:12">
      <c r="D1530" t="s">
        <v>98</v>
      </c>
      <c r="E1530">
        <v>1780</v>
      </c>
      <c r="F1530">
        <v>1</v>
      </c>
      <c r="H1530">
        <v>2</v>
      </c>
      <c r="J1530" t="s">
        <v>53</v>
      </c>
      <c r="K1530" t="s">
        <v>34</v>
      </c>
      <c r="L1530" t="s">
        <v>28</v>
      </c>
    </row>
    <row r="1531" spans="2:12">
      <c r="D1531" t="s">
        <v>98</v>
      </c>
      <c r="E1531">
        <v>1790</v>
      </c>
      <c r="F1531">
        <v>1</v>
      </c>
      <c r="H1531">
        <v>2</v>
      </c>
      <c r="J1531" t="s">
        <v>57</v>
      </c>
      <c r="K1531" t="s">
        <v>34</v>
      </c>
      <c r="L1531" t="s">
        <v>28</v>
      </c>
    </row>
    <row r="1532" spans="2:12">
      <c r="D1532" t="s">
        <v>98</v>
      </c>
      <c r="E1532">
        <v>1800</v>
      </c>
      <c r="F1532">
        <v>1</v>
      </c>
      <c r="H1532">
        <v>2</v>
      </c>
      <c r="J1532" t="s">
        <v>53</v>
      </c>
      <c r="K1532" t="s">
        <v>31</v>
      </c>
      <c r="L1532" t="s">
        <v>28</v>
      </c>
    </row>
    <row r="1533" spans="2:12">
      <c r="B1533" t="s">
        <v>99</v>
      </c>
      <c r="C1533" s="3" t="s">
        <v>100</v>
      </c>
      <c r="D1533" s="1" t="s">
        <v>98</v>
      </c>
      <c r="E1533">
        <v>1810</v>
      </c>
      <c r="F1533">
        <v>1</v>
      </c>
      <c r="G1533" s="32">
        <v>1</v>
      </c>
      <c r="H1533">
        <v>2</v>
      </c>
      <c r="J1533" t="s">
        <v>19</v>
      </c>
      <c r="K1533" t="s">
        <v>20</v>
      </c>
      <c r="L1533" t="s">
        <v>26</v>
      </c>
    </row>
    <row r="1534" spans="2:12">
      <c r="B1534" t="s">
        <v>99</v>
      </c>
      <c r="C1534" s="3" t="s">
        <v>100</v>
      </c>
      <c r="D1534" s="1" t="s">
        <v>98</v>
      </c>
      <c r="E1534">
        <v>1810</v>
      </c>
      <c r="F1534">
        <v>2</v>
      </c>
      <c r="G1534" s="32">
        <v>2</v>
      </c>
      <c r="H1534">
        <v>2</v>
      </c>
      <c r="J1534" t="s">
        <v>47</v>
      </c>
      <c r="K1534" t="s">
        <v>47</v>
      </c>
      <c r="L1534" t="s">
        <v>28</v>
      </c>
    </row>
    <row r="1535" spans="2:12">
      <c r="D1535" t="s">
        <v>98</v>
      </c>
      <c r="E1535">
        <v>1820</v>
      </c>
      <c r="F1535">
        <v>1</v>
      </c>
      <c r="H1535">
        <v>0</v>
      </c>
      <c r="J1535" t="s">
        <v>19</v>
      </c>
      <c r="L1535" t="s">
        <v>26</v>
      </c>
    </row>
    <row r="1536" spans="2:12">
      <c r="D1536" t="s">
        <v>98</v>
      </c>
      <c r="E1536">
        <v>1820</v>
      </c>
      <c r="F1536">
        <v>2</v>
      </c>
      <c r="H1536">
        <v>2</v>
      </c>
      <c r="J1536" t="s">
        <v>57</v>
      </c>
      <c r="K1536" t="s">
        <v>34</v>
      </c>
      <c r="L1536" t="s">
        <v>28</v>
      </c>
    </row>
    <row r="1537" spans="2:12">
      <c r="B1537" t="s">
        <v>99</v>
      </c>
      <c r="C1537" s="3" t="s">
        <v>100</v>
      </c>
      <c r="D1537" s="1" t="s">
        <v>98</v>
      </c>
      <c r="E1537">
        <v>1830</v>
      </c>
      <c r="F1537">
        <v>1</v>
      </c>
      <c r="G1537" s="32">
        <v>0</v>
      </c>
      <c r="H1537">
        <v>0</v>
      </c>
      <c r="J1537" t="s">
        <v>19</v>
      </c>
      <c r="L1537" t="s">
        <v>26</v>
      </c>
    </row>
    <row r="1538" spans="2:12">
      <c r="B1538" t="s">
        <v>99</v>
      </c>
      <c r="C1538" s="3" t="s">
        <v>100</v>
      </c>
      <c r="D1538" s="1" t="s">
        <v>98</v>
      </c>
      <c r="E1538">
        <v>1830</v>
      </c>
      <c r="F1538">
        <v>2</v>
      </c>
      <c r="G1538" s="32">
        <v>3</v>
      </c>
      <c r="H1538">
        <v>0</v>
      </c>
      <c r="J1538" s="12" t="s">
        <v>46</v>
      </c>
      <c r="L1538" t="s">
        <v>28</v>
      </c>
    </row>
    <row r="1539" spans="2:12">
      <c r="B1539" t="s">
        <v>99</v>
      </c>
      <c r="C1539" s="3" t="s">
        <v>100</v>
      </c>
      <c r="D1539" s="1" t="s">
        <v>98</v>
      </c>
      <c r="E1539">
        <v>1830</v>
      </c>
      <c r="F1539">
        <v>3</v>
      </c>
      <c r="G1539" s="32">
        <v>2</v>
      </c>
      <c r="H1539">
        <v>2</v>
      </c>
      <c r="J1539" t="s">
        <v>52</v>
      </c>
      <c r="L1539" t="s">
        <v>28</v>
      </c>
    </row>
    <row r="1540" spans="2:12">
      <c r="D1540" t="s">
        <v>98</v>
      </c>
      <c r="E1540">
        <v>1840</v>
      </c>
      <c r="F1540">
        <v>1</v>
      </c>
      <c r="H1540">
        <v>2</v>
      </c>
      <c r="J1540" t="s">
        <v>19</v>
      </c>
      <c r="K1540" t="s">
        <v>20</v>
      </c>
      <c r="L1540" t="s">
        <v>26</v>
      </c>
    </row>
    <row r="1541" spans="2:12">
      <c r="D1541" t="s">
        <v>98</v>
      </c>
      <c r="E1541">
        <v>1840</v>
      </c>
      <c r="F1541">
        <v>2</v>
      </c>
      <c r="H1541">
        <v>2</v>
      </c>
      <c r="J1541" t="s">
        <v>57</v>
      </c>
      <c r="K1541" t="s">
        <v>34</v>
      </c>
      <c r="L1541" t="s">
        <v>28</v>
      </c>
    </row>
    <row r="1542" spans="2:12">
      <c r="D1542" t="s">
        <v>98</v>
      </c>
      <c r="E1542">
        <v>1850</v>
      </c>
      <c r="F1542">
        <v>1</v>
      </c>
      <c r="H1542">
        <v>2</v>
      </c>
      <c r="J1542" t="s">
        <v>19</v>
      </c>
      <c r="K1542" t="s">
        <v>20</v>
      </c>
      <c r="L1542" t="s">
        <v>26</v>
      </c>
    </row>
    <row r="1543" spans="2:12">
      <c r="D1543" t="s">
        <v>98</v>
      </c>
      <c r="E1543">
        <v>1850</v>
      </c>
      <c r="F1543">
        <v>2</v>
      </c>
      <c r="H1543">
        <v>0</v>
      </c>
      <c r="J1543" t="s">
        <v>53</v>
      </c>
      <c r="L1543" t="s">
        <v>28</v>
      </c>
    </row>
    <row r="1544" spans="2:12">
      <c r="D1544" t="s">
        <v>98</v>
      </c>
      <c r="E1544">
        <v>1860</v>
      </c>
      <c r="F1544">
        <v>1</v>
      </c>
      <c r="H1544">
        <v>2</v>
      </c>
      <c r="J1544" t="s">
        <v>19</v>
      </c>
      <c r="K1544" t="s">
        <v>20</v>
      </c>
      <c r="L1544" t="s">
        <v>26</v>
      </c>
    </row>
    <row r="1545" spans="2:12">
      <c r="D1545" t="s">
        <v>98</v>
      </c>
      <c r="E1545">
        <v>1860</v>
      </c>
      <c r="F1545">
        <v>2</v>
      </c>
      <c r="H1545">
        <v>2</v>
      </c>
      <c r="J1545" t="s">
        <v>53</v>
      </c>
      <c r="K1545" t="s">
        <v>34</v>
      </c>
      <c r="L1545" t="s">
        <v>28</v>
      </c>
    </row>
    <row r="1546" spans="2:12">
      <c r="D1546" t="s">
        <v>98</v>
      </c>
      <c r="E1546">
        <v>1870</v>
      </c>
      <c r="F1546">
        <v>1</v>
      </c>
      <c r="H1546">
        <v>2</v>
      </c>
      <c r="J1546" t="s">
        <v>19</v>
      </c>
      <c r="K1546" t="s">
        <v>20</v>
      </c>
      <c r="L1546" t="s">
        <v>26</v>
      </c>
    </row>
    <row r="1547" spans="2:12">
      <c r="D1547" t="s">
        <v>98</v>
      </c>
      <c r="E1547">
        <v>1870</v>
      </c>
      <c r="F1547">
        <v>2</v>
      </c>
      <c r="H1547">
        <v>2</v>
      </c>
      <c r="J1547" t="s">
        <v>53</v>
      </c>
      <c r="K1547" t="s">
        <v>31</v>
      </c>
      <c r="L1547" t="s">
        <v>28</v>
      </c>
    </row>
    <row r="1548" spans="2:12">
      <c r="D1548" t="s">
        <v>98</v>
      </c>
      <c r="E1548">
        <v>1880</v>
      </c>
      <c r="F1548">
        <v>1</v>
      </c>
      <c r="H1548">
        <v>2</v>
      </c>
      <c r="J1548" t="s">
        <v>19</v>
      </c>
      <c r="K1548" t="s">
        <v>20</v>
      </c>
      <c r="L1548" t="s">
        <v>26</v>
      </c>
    </row>
    <row r="1549" spans="2:12">
      <c r="D1549" t="s">
        <v>98</v>
      </c>
      <c r="E1549">
        <v>1890</v>
      </c>
      <c r="F1549">
        <v>1</v>
      </c>
      <c r="H1549">
        <v>2</v>
      </c>
      <c r="J1549" t="s">
        <v>103</v>
      </c>
      <c r="K1549" t="s">
        <v>27</v>
      </c>
      <c r="L1549" t="s">
        <v>28</v>
      </c>
    </row>
    <row r="1550" spans="2:12">
      <c r="D1550" t="s">
        <v>98</v>
      </c>
      <c r="E1550">
        <v>1900</v>
      </c>
      <c r="F1550">
        <v>1</v>
      </c>
      <c r="H1550">
        <v>2</v>
      </c>
      <c r="J1550" t="s">
        <v>19</v>
      </c>
      <c r="K1550" t="s">
        <v>20</v>
      </c>
      <c r="L1550" t="s">
        <v>26</v>
      </c>
    </row>
    <row r="1551" spans="2:12">
      <c r="D1551" t="s">
        <v>98</v>
      </c>
      <c r="E1551">
        <v>1910</v>
      </c>
      <c r="F1551">
        <v>1</v>
      </c>
      <c r="H1551">
        <v>2</v>
      </c>
      <c r="J1551" t="s">
        <v>19</v>
      </c>
      <c r="K1551" t="s">
        <v>20</v>
      </c>
      <c r="L1551" t="s">
        <v>26</v>
      </c>
    </row>
    <row r="1552" spans="2:12">
      <c r="D1552" t="s">
        <v>98</v>
      </c>
      <c r="E1552">
        <v>1920</v>
      </c>
      <c r="F1552">
        <v>1</v>
      </c>
      <c r="H1552">
        <v>2</v>
      </c>
      <c r="J1552" t="s">
        <v>19</v>
      </c>
      <c r="K1552" t="s">
        <v>20</v>
      </c>
      <c r="L1552" t="s">
        <v>26</v>
      </c>
    </row>
    <row r="1553" spans="2:12">
      <c r="D1553" t="s">
        <v>98</v>
      </c>
      <c r="E1553">
        <v>1920</v>
      </c>
      <c r="F1553">
        <v>2</v>
      </c>
      <c r="H1553">
        <v>2</v>
      </c>
      <c r="J1553" t="s">
        <v>53</v>
      </c>
      <c r="K1553" t="s">
        <v>34</v>
      </c>
      <c r="L1553" t="s">
        <v>28</v>
      </c>
    </row>
    <row r="1554" spans="2:12">
      <c r="D1554" t="s">
        <v>98</v>
      </c>
      <c r="E1554">
        <v>1930</v>
      </c>
      <c r="F1554">
        <v>1</v>
      </c>
      <c r="H1554">
        <v>2</v>
      </c>
      <c r="J1554" t="s">
        <v>19</v>
      </c>
      <c r="K1554" t="s">
        <v>20</v>
      </c>
      <c r="L1554" t="s">
        <v>26</v>
      </c>
    </row>
    <row r="1555" spans="2:12">
      <c r="D1555" t="s">
        <v>98</v>
      </c>
      <c r="E1555">
        <v>1930</v>
      </c>
      <c r="F1555">
        <v>2</v>
      </c>
      <c r="H1555">
        <v>2</v>
      </c>
      <c r="J1555" t="s">
        <v>57</v>
      </c>
      <c r="K1555" t="s">
        <v>34</v>
      </c>
      <c r="L1555" t="s">
        <v>28</v>
      </c>
    </row>
    <row r="1556" spans="2:12">
      <c r="D1556" t="s">
        <v>98</v>
      </c>
      <c r="E1556">
        <v>1940</v>
      </c>
      <c r="F1556">
        <v>1</v>
      </c>
      <c r="H1556">
        <v>2</v>
      </c>
      <c r="J1556" t="s">
        <v>19</v>
      </c>
      <c r="K1556" t="s">
        <v>20</v>
      </c>
      <c r="L1556" t="s">
        <v>26</v>
      </c>
    </row>
    <row r="1557" spans="2:12" ht="15.75" customHeight="1">
      <c r="D1557" t="s">
        <v>98</v>
      </c>
      <c r="E1557">
        <v>1940</v>
      </c>
      <c r="F1557">
        <v>2</v>
      </c>
      <c r="H1557">
        <v>2</v>
      </c>
      <c r="J1557" t="s">
        <v>57</v>
      </c>
      <c r="K1557" t="s">
        <v>34</v>
      </c>
      <c r="L1557" t="s">
        <v>28</v>
      </c>
    </row>
    <row r="1558" spans="2:12" ht="15.75" customHeight="1">
      <c r="D1558" t="s">
        <v>98</v>
      </c>
      <c r="E1558">
        <v>1950</v>
      </c>
      <c r="F1558">
        <v>1</v>
      </c>
      <c r="H1558">
        <v>2</v>
      </c>
      <c r="J1558" t="s">
        <v>19</v>
      </c>
      <c r="K1558" t="s">
        <v>20</v>
      </c>
      <c r="L1558" t="s">
        <v>26</v>
      </c>
    </row>
    <row r="1559" spans="2:12" ht="15.75" customHeight="1">
      <c r="D1559" t="s">
        <v>98</v>
      </c>
      <c r="E1559">
        <v>1950</v>
      </c>
      <c r="F1559">
        <v>2</v>
      </c>
      <c r="H1559">
        <v>2</v>
      </c>
      <c r="J1559" t="s">
        <v>53</v>
      </c>
      <c r="K1559" t="s">
        <v>34</v>
      </c>
      <c r="L1559" t="s">
        <v>28</v>
      </c>
    </row>
    <row r="1560" spans="2:12" ht="15.75" customHeight="1">
      <c r="D1560" t="s">
        <v>98</v>
      </c>
      <c r="E1560">
        <v>1960</v>
      </c>
      <c r="F1560">
        <v>1</v>
      </c>
      <c r="H1560">
        <v>2</v>
      </c>
      <c r="J1560" t="s">
        <v>19</v>
      </c>
      <c r="K1560" t="s">
        <v>20</v>
      </c>
      <c r="L1560" t="s">
        <v>26</v>
      </c>
    </row>
    <row r="1561" spans="2:12" ht="15.75" customHeight="1">
      <c r="D1561" t="s">
        <v>98</v>
      </c>
      <c r="E1561">
        <v>1960</v>
      </c>
      <c r="F1561">
        <v>2</v>
      </c>
      <c r="H1561">
        <v>2</v>
      </c>
      <c r="J1561" t="s">
        <v>103</v>
      </c>
      <c r="K1561" t="s">
        <v>27</v>
      </c>
      <c r="L1561" t="s">
        <v>28</v>
      </c>
    </row>
    <row r="1562" spans="2:12" ht="15.75" customHeight="1">
      <c r="D1562" t="s">
        <v>98</v>
      </c>
      <c r="E1562">
        <v>1970</v>
      </c>
      <c r="F1562">
        <v>1</v>
      </c>
      <c r="H1562">
        <v>2</v>
      </c>
      <c r="J1562" t="s">
        <v>19</v>
      </c>
      <c r="K1562" t="s">
        <v>20</v>
      </c>
      <c r="L1562" t="s">
        <v>26</v>
      </c>
    </row>
    <row r="1563" spans="2:12" ht="15.75" customHeight="1">
      <c r="D1563" t="s">
        <v>98</v>
      </c>
      <c r="E1563">
        <v>1970</v>
      </c>
      <c r="F1563">
        <v>2</v>
      </c>
      <c r="H1563">
        <v>2</v>
      </c>
      <c r="J1563" t="s">
        <v>103</v>
      </c>
      <c r="K1563" t="s">
        <v>27</v>
      </c>
      <c r="L1563" t="s">
        <v>28</v>
      </c>
    </row>
    <row r="1564" spans="2:12" ht="15.75" customHeight="1">
      <c r="B1564" t="s">
        <v>99</v>
      </c>
      <c r="C1564" s="3" t="s">
        <v>100</v>
      </c>
      <c r="D1564" s="1" t="s">
        <v>98</v>
      </c>
      <c r="E1564">
        <v>1980</v>
      </c>
      <c r="F1564">
        <v>1</v>
      </c>
      <c r="G1564" s="32">
        <v>1</v>
      </c>
      <c r="H1564">
        <v>1</v>
      </c>
      <c r="J1564" t="s">
        <v>19</v>
      </c>
      <c r="K1564" t="s">
        <v>20</v>
      </c>
      <c r="L1564" t="s">
        <v>26</v>
      </c>
    </row>
    <row r="1565" spans="2:12" ht="15.75" customHeight="1">
      <c r="B1565" t="s">
        <v>99</v>
      </c>
      <c r="C1565" s="3" t="s">
        <v>100</v>
      </c>
      <c r="D1565" s="1" t="s">
        <v>98</v>
      </c>
      <c r="E1565">
        <v>1980</v>
      </c>
      <c r="F1565">
        <v>2</v>
      </c>
      <c r="G1565" s="32">
        <v>2</v>
      </c>
      <c r="H1565">
        <v>2</v>
      </c>
      <c r="J1565" t="s">
        <v>42</v>
      </c>
      <c r="K1565" t="s">
        <v>33</v>
      </c>
      <c r="L1565" t="s">
        <v>26</v>
      </c>
    </row>
    <row r="1566" spans="2:12" ht="15.75" customHeight="1">
      <c r="B1566" t="s">
        <v>99</v>
      </c>
      <c r="C1566" s="3" t="s">
        <v>100</v>
      </c>
      <c r="D1566" s="1" t="s">
        <v>98</v>
      </c>
      <c r="E1566">
        <v>1980</v>
      </c>
      <c r="F1566">
        <v>3</v>
      </c>
      <c r="G1566" s="32">
        <v>2</v>
      </c>
      <c r="H1566">
        <v>2</v>
      </c>
      <c r="J1566" t="s">
        <v>101</v>
      </c>
      <c r="K1566" t="s">
        <v>36</v>
      </c>
      <c r="L1566" t="s">
        <v>28</v>
      </c>
    </row>
    <row r="1567" spans="2:12" ht="15.75" customHeight="1">
      <c r="D1567" t="s">
        <v>98</v>
      </c>
      <c r="E1567">
        <v>1990</v>
      </c>
      <c r="F1567">
        <v>1</v>
      </c>
      <c r="H1567">
        <v>2</v>
      </c>
      <c r="J1567" t="s">
        <v>19</v>
      </c>
      <c r="K1567" t="s">
        <v>20</v>
      </c>
      <c r="L1567" t="s">
        <v>26</v>
      </c>
    </row>
    <row r="1568" spans="2:12" ht="15.75" customHeight="1">
      <c r="D1568" t="s">
        <v>98</v>
      </c>
      <c r="E1568">
        <v>1990</v>
      </c>
      <c r="F1568">
        <v>2</v>
      </c>
      <c r="H1568">
        <v>2</v>
      </c>
      <c r="J1568" t="s">
        <v>103</v>
      </c>
      <c r="K1568" t="s">
        <v>27</v>
      </c>
      <c r="L1568" t="s">
        <v>28</v>
      </c>
    </row>
    <row r="1569" spans="2:12" ht="15.75" customHeight="1">
      <c r="D1569" t="s">
        <v>98</v>
      </c>
      <c r="E1569">
        <v>2000</v>
      </c>
      <c r="F1569">
        <v>1</v>
      </c>
      <c r="H1569">
        <v>2</v>
      </c>
      <c r="J1569" t="s">
        <v>19</v>
      </c>
      <c r="K1569" t="s">
        <v>20</v>
      </c>
      <c r="L1569" t="s">
        <v>26</v>
      </c>
    </row>
    <row r="1570" spans="2:12" ht="15.75" customHeight="1">
      <c r="D1570" t="s">
        <v>98</v>
      </c>
      <c r="E1570">
        <v>2000</v>
      </c>
      <c r="F1570">
        <v>2</v>
      </c>
      <c r="H1570">
        <v>2</v>
      </c>
      <c r="J1570" t="s">
        <v>103</v>
      </c>
      <c r="K1570" t="s">
        <v>27</v>
      </c>
      <c r="L1570" t="s">
        <v>28</v>
      </c>
    </row>
    <row r="1571" spans="2:12" ht="15.75" customHeight="1">
      <c r="D1571" t="s">
        <v>98</v>
      </c>
      <c r="E1571">
        <v>2010</v>
      </c>
      <c r="F1571">
        <v>1</v>
      </c>
      <c r="H1571">
        <v>2</v>
      </c>
      <c r="J1571" t="s">
        <v>19</v>
      </c>
      <c r="K1571" t="s">
        <v>20</v>
      </c>
      <c r="L1571" t="s">
        <v>26</v>
      </c>
    </row>
    <row r="1572" spans="2:12" ht="15.75" customHeight="1">
      <c r="D1572" t="s">
        <v>98</v>
      </c>
      <c r="E1572">
        <v>2010</v>
      </c>
      <c r="F1572">
        <v>2</v>
      </c>
      <c r="H1572">
        <v>2</v>
      </c>
      <c r="J1572" t="s">
        <v>103</v>
      </c>
      <c r="K1572" t="s">
        <v>27</v>
      </c>
      <c r="L1572" t="s">
        <v>28</v>
      </c>
    </row>
    <row r="1573" spans="2:12" ht="15.75" customHeight="1">
      <c r="B1573" t="s">
        <v>99</v>
      </c>
      <c r="C1573" s="3" t="s">
        <v>100</v>
      </c>
      <c r="D1573" s="1" t="s">
        <v>98</v>
      </c>
      <c r="E1573">
        <v>2020</v>
      </c>
      <c r="F1573">
        <v>1</v>
      </c>
      <c r="G1573" s="32">
        <v>1</v>
      </c>
      <c r="H1573">
        <v>2</v>
      </c>
      <c r="J1573" t="s">
        <v>101</v>
      </c>
      <c r="K1573" t="s">
        <v>36</v>
      </c>
      <c r="L1573" t="s">
        <v>28</v>
      </c>
    </row>
    <row r="1574" spans="2:12" ht="15.75" customHeight="1">
      <c r="B1574" t="s">
        <v>99</v>
      </c>
      <c r="C1574" s="3" t="s">
        <v>100</v>
      </c>
      <c r="D1574" s="1" t="s">
        <v>98</v>
      </c>
      <c r="E1574">
        <v>2020</v>
      </c>
      <c r="F1574">
        <v>2</v>
      </c>
      <c r="G1574" s="32">
        <v>2</v>
      </c>
      <c r="H1574">
        <v>2</v>
      </c>
      <c r="J1574" t="s">
        <v>19</v>
      </c>
      <c r="K1574" t="s">
        <v>20</v>
      </c>
      <c r="L1574" t="s">
        <v>26</v>
      </c>
    </row>
    <row r="1575" spans="2:12" ht="15.75" customHeight="1">
      <c r="D1575" t="s">
        <v>98</v>
      </c>
      <c r="E1575">
        <v>2030</v>
      </c>
      <c r="F1575">
        <v>1</v>
      </c>
      <c r="H1575">
        <v>2</v>
      </c>
      <c r="J1575" t="s">
        <v>19</v>
      </c>
      <c r="K1575" t="s">
        <v>20</v>
      </c>
      <c r="L1575" t="s">
        <v>26</v>
      </c>
    </row>
    <row r="1576" spans="2:12" ht="15.75" customHeight="1">
      <c r="D1576" t="s">
        <v>98</v>
      </c>
      <c r="E1576">
        <v>2030</v>
      </c>
      <c r="F1576">
        <v>2</v>
      </c>
      <c r="H1576">
        <v>2</v>
      </c>
      <c r="J1576" t="s">
        <v>103</v>
      </c>
      <c r="K1576" t="s">
        <v>27</v>
      </c>
      <c r="L1576" t="s">
        <v>28</v>
      </c>
    </row>
    <row r="1577" spans="2:12" ht="15.75" customHeight="1">
      <c r="D1577" t="s">
        <v>98</v>
      </c>
      <c r="E1577">
        <v>2040</v>
      </c>
      <c r="F1577">
        <v>1</v>
      </c>
      <c r="H1577">
        <v>2</v>
      </c>
      <c r="J1577" t="s">
        <v>19</v>
      </c>
      <c r="K1577" t="s">
        <v>20</v>
      </c>
      <c r="L1577" t="s">
        <v>26</v>
      </c>
    </row>
    <row r="1578" spans="2:12" ht="15.75" customHeight="1">
      <c r="D1578" t="s">
        <v>98</v>
      </c>
      <c r="E1578">
        <v>2040</v>
      </c>
      <c r="F1578">
        <v>2</v>
      </c>
      <c r="H1578">
        <v>2</v>
      </c>
      <c r="J1578" t="s">
        <v>57</v>
      </c>
      <c r="K1578" t="s">
        <v>34</v>
      </c>
      <c r="L1578" t="s">
        <v>28</v>
      </c>
    </row>
    <row r="1579" spans="2:12" ht="15.75" customHeight="1">
      <c r="D1579" t="s">
        <v>98</v>
      </c>
      <c r="E1579">
        <v>2050</v>
      </c>
      <c r="F1579">
        <v>1</v>
      </c>
      <c r="H1579">
        <v>2</v>
      </c>
      <c r="J1579" t="s">
        <v>19</v>
      </c>
      <c r="K1579" t="s">
        <v>20</v>
      </c>
      <c r="L1579" t="s">
        <v>26</v>
      </c>
    </row>
    <row r="1580" spans="2:12" ht="15.75" customHeight="1">
      <c r="D1580" t="s">
        <v>98</v>
      </c>
      <c r="E1580">
        <v>2050</v>
      </c>
      <c r="F1580">
        <v>2</v>
      </c>
      <c r="H1580">
        <v>2</v>
      </c>
      <c r="J1580" t="s">
        <v>53</v>
      </c>
      <c r="K1580" t="s">
        <v>34</v>
      </c>
      <c r="L1580" t="s">
        <v>28</v>
      </c>
    </row>
    <row r="1581" spans="2:12" ht="15.75" customHeight="1">
      <c r="D1581" t="s">
        <v>98</v>
      </c>
      <c r="E1581">
        <v>2060</v>
      </c>
      <c r="F1581">
        <v>1</v>
      </c>
      <c r="H1581">
        <v>2</v>
      </c>
      <c r="J1581" t="s">
        <v>19</v>
      </c>
      <c r="K1581" t="s">
        <v>20</v>
      </c>
      <c r="L1581" t="s">
        <v>26</v>
      </c>
    </row>
    <row r="1582" spans="2:12" ht="15.75" customHeight="1">
      <c r="D1582" t="s">
        <v>98</v>
      </c>
      <c r="E1582">
        <v>2070</v>
      </c>
      <c r="F1582">
        <v>1</v>
      </c>
      <c r="H1582">
        <v>2</v>
      </c>
      <c r="J1582" t="s">
        <v>19</v>
      </c>
      <c r="K1582" t="s">
        <v>20</v>
      </c>
      <c r="L1582" t="s">
        <v>26</v>
      </c>
    </row>
    <row r="1583" spans="2:12" ht="15.75" customHeight="1">
      <c r="D1583" t="s">
        <v>98</v>
      </c>
      <c r="E1583">
        <v>2080</v>
      </c>
      <c r="F1583">
        <v>1</v>
      </c>
      <c r="H1583">
        <v>2</v>
      </c>
      <c r="J1583" t="s">
        <v>19</v>
      </c>
      <c r="K1583" t="s">
        <v>20</v>
      </c>
      <c r="L1583" t="s">
        <v>26</v>
      </c>
    </row>
    <row r="1584" spans="2:12" ht="15.75" customHeight="1">
      <c r="D1584" t="s">
        <v>98</v>
      </c>
      <c r="E1584">
        <v>2090</v>
      </c>
      <c r="F1584">
        <v>1</v>
      </c>
      <c r="H1584">
        <v>0</v>
      </c>
      <c r="J1584" t="s">
        <v>19</v>
      </c>
      <c r="L1584" t="s">
        <v>28</v>
      </c>
    </row>
    <row r="1585" spans="2:12" ht="15.75" customHeight="1">
      <c r="D1585" t="s">
        <v>98</v>
      </c>
      <c r="E1585">
        <v>2100</v>
      </c>
      <c r="F1585">
        <v>1</v>
      </c>
      <c r="H1585">
        <v>2</v>
      </c>
    </row>
    <row r="1586" spans="2:12" ht="15.75" customHeight="1">
      <c r="D1586" t="s">
        <v>98</v>
      </c>
      <c r="E1586">
        <v>2110</v>
      </c>
      <c r="F1586">
        <v>1</v>
      </c>
      <c r="H1586">
        <v>2</v>
      </c>
      <c r="J1586" t="s">
        <v>19</v>
      </c>
      <c r="K1586" t="s">
        <v>20</v>
      </c>
      <c r="L1586" t="s">
        <v>26</v>
      </c>
    </row>
    <row r="1587" spans="2:12" ht="15.75" customHeight="1">
      <c r="D1587" t="s">
        <v>98</v>
      </c>
      <c r="E1587">
        <v>2110</v>
      </c>
      <c r="F1587">
        <v>2</v>
      </c>
      <c r="H1587">
        <v>2</v>
      </c>
      <c r="J1587" t="s">
        <v>38</v>
      </c>
      <c r="K1587" t="s">
        <v>34</v>
      </c>
      <c r="L1587" t="s">
        <v>28</v>
      </c>
    </row>
    <row r="1588" spans="2:12" ht="15.75" customHeight="1">
      <c r="D1588" t="s">
        <v>98</v>
      </c>
      <c r="E1588">
        <v>2120</v>
      </c>
      <c r="F1588">
        <v>1</v>
      </c>
      <c r="H1588">
        <v>1</v>
      </c>
      <c r="J1588" t="s">
        <v>38</v>
      </c>
      <c r="K1588" t="s">
        <v>34</v>
      </c>
      <c r="L1588" t="s">
        <v>28</v>
      </c>
    </row>
    <row r="1589" spans="2:12" ht="15.75" customHeight="1">
      <c r="D1589" t="s">
        <v>98</v>
      </c>
      <c r="E1589">
        <v>2120</v>
      </c>
      <c r="F1589">
        <v>2</v>
      </c>
      <c r="H1589">
        <v>2</v>
      </c>
      <c r="J1589" t="s">
        <v>19</v>
      </c>
      <c r="K1589" t="s">
        <v>20</v>
      </c>
      <c r="L1589" t="s">
        <v>26</v>
      </c>
    </row>
    <row r="1590" spans="2:12" ht="15.75" customHeight="1">
      <c r="B1590" t="s">
        <v>99</v>
      </c>
      <c r="C1590" s="3" t="s">
        <v>100</v>
      </c>
      <c r="D1590" s="1" t="s">
        <v>98</v>
      </c>
      <c r="E1590">
        <v>2130</v>
      </c>
      <c r="F1590">
        <v>1</v>
      </c>
      <c r="G1590" s="32">
        <v>3</v>
      </c>
      <c r="H1590">
        <v>0</v>
      </c>
      <c r="J1590" t="s">
        <v>19</v>
      </c>
      <c r="L1590" t="s">
        <v>26</v>
      </c>
    </row>
    <row r="1591" spans="2:12" ht="15.75" customHeight="1">
      <c r="B1591" t="s">
        <v>99</v>
      </c>
      <c r="C1591" s="3" t="s">
        <v>100</v>
      </c>
      <c r="D1591" s="1" t="s">
        <v>98</v>
      </c>
      <c r="E1591">
        <v>2130</v>
      </c>
      <c r="F1591">
        <v>2</v>
      </c>
      <c r="G1591" s="32">
        <v>2</v>
      </c>
      <c r="H1591">
        <v>2</v>
      </c>
      <c r="J1591" t="s">
        <v>42</v>
      </c>
      <c r="K1591" t="s">
        <v>20</v>
      </c>
      <c r="L1591" t="s">
        <v>26</v>
      </c>
    </row>
    <row r="1592" spans="2:12" ht="15.75" customHeight="1">
      <c r="B1592" t="s">
        <v>99</v>
      </c>
      <c r="C1592" s="3" t="s">
        <v>100</v>
      </c>
      <c r="D1592" s="1" t="s">
        <v>98</v>
      </c>
      <c r="E1592">
        <v>2130</v>
      </c>
      <c r="F1592">
        <v>3</v>
      </c>
      <c r="G1592" s="32">
        <v>2</v>
      </c>
      <c r="H1592">
        <v>2</v>
      </c>
      <c r="J1592" t="s">
        <v>35</v>
      </c>
      <c r="K1592" t="s">
        <v>33</v>
      </c>
      <c r="L1592" t="s">
        <v>28</v>
      </c>
    </row>
    <row r="1593" spans="2:12" ht="15.75" customHeight="1">
      <c r="B1593" t="s">
        <v>99</v>
      </c>
      <c r="C1593" s="3" t="s">
        <v>100</v>
      </c>
      <c r="D1593" s="1" t="s">
        <v>98</v>
      </c>
      <c r="E1593">
        <v>2140</v>
      </c>
      <c r="F1593">
        <v>1</v>
      </c>
      <c r="G1593" s="32">
        <v>3</v>
      </c>
      <c r="H1593">
        <v>0</v>
      </c>
      <c r="J1593" s="12" t="s">
        <v>46</v>
      </c>
    </row>
    <row r="1594" spans="2:12" ht="15.75" customHeight="1">
      <c r="B1594" t="s">
        <v>99</v>
      </c>
      <c r="C1594" s="3" t="s">
        <v>100</v>
      </c>
      <c r="D1594" s="1" t="s">
        <v>98</v>
      </c>
      <c r="E1594">
        <v>2140</v>
      </c>
      <c r="F1594">
        <v>2</v>
      </c>
      <c r="G1594" s="32">
        <v>0</v>
      </c>
      <c r="H1594">
        <v>0</v>
      </c>
      <c r="J1594" t="s">
        <v>35</v>
      </c>
      <c r="L1594" t="s">
        <v>28</v>
      </c>
    </row>
    <row r="1595" spans="2:12" ht="15.75" customHeight="1">
      <c r="B1595" t="s">
        <v>99</v>
      </c>
      <c r="C1595" s="3" t="s">
        <v>100</v>
      </c>
      <c r="D1595" s="1" t="s">
        <v>98</v>
      </c>
      <c r="E1595">
        <v>2140</v>
      </c>
      <c r="F1595">
        <v>3</v>
      </c>
      <c r="G1595" s="32">
        <v>2</v>
      </c>
      <c r="H1595">
        <v>2</v>
      </c>
      <c r="J1595" t="s">
        <v>19</v>
      </c>
      <c r="K1595" t="s">
        <v>20</v>
      </c>
      <c r="L1595" t="s">
        <v>26</v>
      </c>
    </row>
    <row r="1596" spans="2:12" ht="15.75" customHeight="1">
      <c r="B1596" t="s">
        <v>99</v>
      </c>
      <c r="C1596" s="3" t="s">
        <v>100</v>
      </c>
      <c r="D1596" s="1" t="s">
        <v>98</v>
      </c>
      <c r="E1596">
        <v>2140</v>
      </c>
      <c r="F1596">
        <v>4</v>
      </c>
      <c r="G1596" s="32">
        <v>2</v>
      </c>
      <c r="H1596">
        <v>1</v>
      </c>
      <c r="J1596" t="s">
        <v>42</v>
      </c>
      <c r="K1596" t="s">
        <v>33</v>
      </c>
      <c r="L1596" t="s">
        <v>26</v>
      </c>
    </row>
    <row r="1597" spans="2:12" ht="15.75" customHeight="1">
      <c r="D1597" t="s">
        <v>98</v>
      </c>
      <c r="E1597">
        <v>2150</v>
      </c>
      <c r="F1597">
        <v>1</v>
      </c>
      <c r="H1597">
        <v>2</v>
      </c>
      <c r="J1597" t="s">
        <v>19</v>
      </c>
      <c r="K1597" t="s">
        <v>20</v>
      </c>
      <c r="L1597" t="s">
        <v>26</v>
      </c>
    </row>
    <row r="1598" spans="2:12" ht="15.75" customHeight="1">
      <c r="D1598" t="s">
        <v>98</v>
      </c>
      <c r="E1598">
        <v>2160</v>
      </c>
      <c r="I1598" t="s">
        <v>56</v>
      </c>
    </row>
    <row r="1599" spans="2:12" ht="15.75" customHeight="1">
      <c r="B1599" t="s">
        <v>99</v>
      </c>
      <c r="C1599" s="3" t="s">
        <v>100</v>
      </c>
      <c r="D1599" s="1" t="s">
        <v>98</v>
      </c>
      <c r="E1599">
        <v>2170</v>
      </c>
      <c r="F1599">
        <v>1</v>
      </c>
      <c r="G1599" s="32">
        <v>3</v>
      </c>
      <c r="H1599">
        <v>0</v>
      </c>
      <c r="J1599" s="12" t="s">
        <v>46</v>
      </c>
    </row>
    <row r="1600" spans="2:12" ht="15.75" customHeight="1">
      <c r="B1600" t="s">
        <v>99</v>
      </c>
      <c r="C1600" s="3" t="s">
        <v>100</v>
      </c>
      <c r="D1600" s="1" t="s">
        <v>98</v>
      </c>
      <c r="E1600">
        <v>2170</v>
      </c>
      <c r="F1600">
        <v>2</v>
      </c>
      <c r="G1600" s="32">
        <v>2</v>
      </c>
      <c r="H1600">
        <v>2</v>
      </c>
      <c r="J1600" t="s">
        <v>19</v>
      </c>
      <c r="K1600" t="s">
        <v>20</v>
      </c>
      <c r="L1600" t="s">
        <v>26</v>
      </c>
    </row>
    <row r="1601" spans="2:12" ht="15.75" customHeight="1">
      <c r="B1601" t="s">
        <v>99</v>
      </c>
      <c r="C1601" s="3" t="s">
        <v>100</v>
      </c>
      <c r="D1601" s="1" t="s">
        <v>98</v>
      </c>
      <c r="E1601">
        <v>2170</v>
      </c>
      <c r="F1601">
        <v>3</v>
      </c>
      <c r="G1601" s="32">
        <v>0</v>
      </c>
      <c r="H1601">
        <v>0</v>
      </c>
      <c r="J1601" t="s">
        <v>35</v>
      </c>
      <c r="L1601" t="s">
        <v>28</v>
      </c>
    </row>
    <row r="1602" spans="2:12" ht="15.75" customHeight="1">
      <c r="D1602" t="s">
        <v>98</v>
      </c>
      <c r="E1602">
        <v>2180</v>
      </c>
      <c r="F1602">
        <v>1</v>
      </c>
      <c r="H1602">
        <v>2</v>
      </c>
      <c r="J1602" t="s">
        <v>19</v>
      </c>
      <c r="K1602" t="s">
        <v>20</v>
      </c>
      <c r="L1602" t="s">
        <v>26</v>
      </c>
    </row>
    <row r="1603" spans="2:12" ht="15.75" customHeight="1">
      <c r="D1603" t="s">
        <v>98</v>
      </c>
      <c r="E1603">
        <v>2180</v>
      </c>
      <c r="F1603">
        <v>2</v>
      </c>
      <c r="H1603">
        <v>2</v>
      </c>
      <c r="J1603" t="s">
        <v>38</v>
      </c>
      <c r="K1603" t="s">
        <v>34</v>
      </c>
      <c r="L1603" t="s">
        <v>28</v>
      </c>
    </row>
    <row r="1604" spans="2:12" ht="15.75" customHeight="1">
      <c r="D1604" t="s">
        <v>98</v>
      </c>
      <c r="E1604">
        <v>2190</v>
      </c>
      <c r="F1604">
        <v>1</v>
      </c>
      <c r="H1604">
        <v>2</v>
      </c>
      <c r="J1604" t="s">
        <v>19</v>
      </c>
      <c r="K1604" t="s">
        <v>20</v>
      </c>
      <c r="L1604" t="s">
        <v>26</v>
      </c>
    </row>
    <row r="1605" spans="2:12" ht="15.75" customHeight="1">
      <c r="D1605" t="s">
        <v>98</v>
      </c>
      <c r="E1605">
        <v>2190</v>
      </c>
      <c r="F1605">
        <v>2</v>
      </c>
      <c r="H1605">
        <v>2</v>
      </c>
      <c r="J1605" t="s">
        <v>38</v>
      </c>
      <c r="K1605" t="s">
        <v>27</v>
      </c>
      <c r="L1605" t="s">
        <v>28</v>
      </c>
    </row>
    <row r="1606" spans="2:12" ht="15.75" customHeight="1">
      <c r="D1606" t="s">
        <v>98</v>
      </c>
      <c r="E1606">
        <v>2200</v>
      </c>
      <c r="F1606">
        <v>1</v>
      </c>
      <c r="H1606">
        <v>2</v>
      </c>
      <c r="J1606" t="s">
        <v>19</v>
      </c>
      <c r="K1606" t="s">
        <v>20</v>
      </c>
      <c r="L1606" t="s">
        <v>26</v>
      </c>
    </row>
    <row r="1607" spans="2:12" ht="15.75" customHeight="1">
      <c r="D1607" t="s">
        <v>98</v>
      </c>
      <c r="E1607">
        <v>2210</v>
      </c>
      <c r="I1607" t="s">
        <v>56</v>
      </c>
    </row>
    <row r="1608" spans="2:12" ht="15.75" customHeight="1">
      <c r="D1608" t="s">
        <v>98</v>
      </c>
      <c r="E1608">
        <v>2220</v>
      </c>
      <c r="F1608">
        <v>1</v>
      </c>
      <c r="H1608">
        <v>2</v>
      </c>
    </row>
    <row r="1609" spans="2:12" ht="15.75" customHeight="1">
      <c r="D1609" t="s">
        <v>98</v>
      </c>
      <c r="E1609">
        <v>2230</v>
      </c>
      <c r="F1609">
        <v>1</v>
      </c>
      <c r="H1609">
        <v>2</v>
      </c>
    </row>
    <row r="1610" spans="2:12" ht="15.75" customHeight="1">
      <c r="D1610" t="s">
        <v>98</v>
      </c>
      <c r="E1610">
        <v>2240</v>
      </c>
      <c r="F1610">
        <v>1</v>
      </c>
      <c r="H1610">
        <v>2</v>
      </c>
    </row>
    <row r="1611" spans="2:12" ht="15.75" customHeight="1">
      <c r="D1611" t="s">
        <v>98</v>
      </c>
      <c r="E1611">
        <v>2250</v>
      </c>
      <c r="F1611">
        <v>1</v>
      </c>
      <c r="H1611">
        <v>2</v>
      </c>
      <c r="J1611" t="s">
        <v>19</v>
      </c>
      <c r="K1611" t="s">
        <v>20</v>
      </c>
      <c r="L1611" t="s">
        <v>26</v>
      </c>
    </row>
    <row r="1612" spans="2:12" ht="15.75" customHeight="1">
      <c r="D1612" t="s">
        <v>98</v>
      </c>
      <c r="E1612">
        <v>2250</v>
      </c>
      <c r="F1612">
        <v>2</v>
      </c>
      <c r="H1612">
        <v>2</v>
      </c>
      <c r="J1612" t="s">
        <v>57</v>
      </c>
      <c r="K1612" t="s">
        <v>34</v>
      </c>
      <c r="L1612" t="s">
        <v>28</v>
      </c>
    </row>
    <row r="1613" spans="2:12" ht="15.75" customHeight="1">
      <c r="D1613" t="s">
        <v>98</v>
      </c>
      <c r="E1613">
        <v>2260</v>
      </c>
      <c r="F1613">
        <v>1</v>
      </c>
      <c r="H1613">
        <v>2</v>
      </c>
      <c r="J1613" t="s">
        <v>53</v>
      </c>
      <c r="K1613" t="s">
        <v>34</v>
      </c>
      <c r="L1613" t="s">
        <v>28</v>
      </c>
    </row>
    <row r="1614" spans="2:12" ht="15.75" customHeight="1">
      <c r="D1614" t="s">
        <v>98</v>
      </c>
      <c r="E1614">
        <v>2270</v>
      </c>
      <c r="F1614">
        <v>1</v>
      </c>
      <c r="H1614">
        <v>2</v>
      </c>
      <c r="J1614" t="s">
        <v>19</v>
      </c>
      <c r="K1614" t="s">
        <v>20</v>
      </c>
      <c r="L1614" t="s">
        <v>26</v>
      </c>
    </row>
    <row r="1615" spans="2:12" ht="15.75" customHeight="1">
      <c r="D1615" t="s">
        <v>98</v>
      </c>
      <c r="E1615">
        <v>2270</v>
      </c>
      <c r="F1615">
        <v>2</v>
      </c>
      <c r="H1615">
        <v>2</v>
      </c>
      <c r="J1615" t="s">
        <v>53</v>
      </c>
      <c r="K1615" t="s">
        <v>34</v>
      </c>
      <c r="L1615" t="s">
        <v>28</v>
      </c>
    </row>
    <row r="1616" spans="2:12" ht="15.75" customHeight="1">
      <c r="B1616" t="s">
        <v>99</v>
      </c>
      <c r="C1616" s="3" t="s">
        <v>100</v>
      </c>
      <c r="D1616" s="1" t="s">
        <v>98</v>
      </c>
      <c r="E1616">
        <v>2280</v>
      </c>
      <c r="F1616">
        <v>1</v>
      </c>
      <c r="G1616" s="32">
        <v>3</v>
      </c>
      <c r="H1616">
        <v>0</v>
      </c>
      <c r="J1616" s="12" t="s">
        <v>46</v>
      </c>
    </row>
    <row r="1617" spans="2:12" ht="15.75" customHeight="1">
      <c r="B1617" t="s">
        <v>99</v>
      </c>
      <c r="C1617" s="3" t="s">
        <v>100</v>
      </c>
      <c r="D1617" s="1" t="s">
        <v>98</v>
      </c>
      <c r="E1617">
        <v>2280</v>
      </c>
      <c r="F1617">
        <v>2</v>
      </c>
      <c r="G1617" s="32">
        <v>2</v>
      </c>
      <c r="H1617">
        <v>2</v>
      </c>
      <c r="J1617" t="s">
        <v>47</v>
      </c>
      <c r="K1617" t="s">
        <v>33</v>
      </c>
      <c r="L1617" t="s">
        <v>28</v>
      </c>
    </row>
    <row r="1618" spans="2:12" ht="15.75" customHeight="1">
      <c r="D1618" t="s">
        <v>98</v>
      </c>
      <c r="E1618">
        <v>2290</v>
      </c>
      <c r="I1618" t="s">
        <v>56</v>
      </c>
    </row>
    <row r="1619" spans="2:12" ht="15.75" customHeight="1">
      <c r="D1619" t="s">
        <v>98</v>
      </c>
      <c r="E1619">
        <v>2300</v>
      </c>
      <c r="I1619" t="s">
        <v>56</v>
      </c>
    </row>
    <row r="1620" spans="2:12" ht="15.75" customHeight="1">
      <c r="D1620" t="s">
        <v>98</v>
      </c>
      <c r="E1620">
        <v>2310</v>
      </c>
      <c r="I1620" t="s">
        <v>56</v>
      </c>
    </row>
    <row r="1621" spans="2:12" ht="15.75" customHeight="1">
      <c r="D1621" t="s">
        <v>98</v>
      </c>
      <c r="E1621">
        <v>2320</v>
      </c>
      <c r="F1621">
        <v>1</v>
      </c>
      <c r="H1621">
        <v>2</v>
      </c>
    </row>
    <row r="1622" spans="2:12" ht="15.75" customHeight="1">
      <c r="B1622" t="s">
        <v>99</v>
      </c>
      <c r="C1622" s="3" t="s">
        <v>100</v>
      </c>
      <c r="D1622" s="1" t="s">
        <v>98</v>
      </c>
      <c r="E1622">
        <v>2330</v>
      </c>
      <c r="F1622">
        <v>1</v>
      </c>
      <c r="G1622" s="32">
        <v>1</v>
      </c>
      <c r="H1622">
        <v>1</v>
      </c>
      <c r="J1622" t="s">
        <v>19</v>
      </c>
      <c r="K1622" t="s">
        <v>20</v>
      </c>
      <c r="L1622" t="s">
        <v>26</v>
      </c>
    </row>
    <row r="1623" spans="2:12" ht="15.75" customHeight="1">
      <c r="B1623" t="s">
        <v>99</v>
      </c>
      <c r="C1623" s="3" t="s">
        <v>100</v>
      </c>
      <c r="D1623" s="1" t="s">
        <v>98</v>
      </c>
      <c r="E1623">
        <v>2330</v>
      </c>
      <c r="F1623">
        <v>2</v>
      </c>
      <c r="G1623" s="32">
        <v>2</v>
      </c>
      <c r="H1623">
        <v>2</v>
      </c>
      <c r="J1623" t="s">
        <v>35</v>
      </c>
      <c r="K1623" t="s">
        <v>36</v>
      </c>
      <c r="L1623" t="s">
        <v>28</v>
      </c>
    </row>
    <row r="1624" spans="2:12" ht="15.75" customHeight="1">
      <c r="B1624" t="s">
        <v>99</v>
      </c>
      <c r="C1624" s="3" t="s">
        <v>100</v>
      </c>
      <c r="D1624" s="1" t="s">
        <v>98</v>
      </c>
      <c r="E1624">
        <v>2340</v>
      </c>
      <c r="F1624">
        <v>1</v>
      </c>
      <c r="G1624" s="32">
        <v>1</v>
      </c>
      <c r="H1624">
        <v>1</v>
      </c>
      <c r="J1624" t="s">
        <v>19</v>
      </c>
      <c r="K1624" t="s">
        <v>20</v>
      </c>
      <c r="L1624" t="s">
        <v>26</v>
      </c>
    </row>
    <row r="1625" spans="2:12" ht="15.75" customHeight="1">
      <c r="B1625" t="s">
        <v>99</v>
      </c>
      <c r="C1625" s="3" t="s">
        <v>100</v>
      </c>
      <c r="D1625" s="1" t="s">
        <v>98</v>
      </c>
      <c r="E1625">
        <v>2350</v>
      </c>
      <c r="F1625">
        <v>1</v>
      </c>
      <c r="G1625" s="32">
        <v>1</v>
      </c>
      <c r="H1625">
        <v>1</v>
      </c>
      <c r="J1625" t="s">
        <v>19</v>
      </c>
      <c r="K1625" t="s">
        <v>20</v>
      </c>
      <c r="L1625" t="s">
        <v>26</v>
      </c>
    </row>
    <row r="1626" spans="2:12" ht="15.75" customHeight="1">
      <c r="B1626" t="s">
        <v>99</v>
      </c>
      <c r="C1626" s="3" t="s">
        <v>100</v>
      </c>
      <c r="D1626" s="1" t="s">
        <v>98</v>
      </c>
      <c r="E1626">
        <v>2350</v>
      </c>
      <c r="F1626">
        <v>2</v>
      </c>
      <c r="G1626" s="32">
        <v>3</v>
      </c>
      <c r="H1626">
        <v>0</v>
      </c>
      <c r="J1626" s="12" t="s">
        <v>46</v>
      </c>
    </row>
    <row r="1627" spans="2:12" ht="15.75" customHeight="1">
      <c r="B1627" t="s">
        <v>99</v>
      </c>
      <c r="C1627" s="3" t="s">
        <v>100</v>
      </c>
      <c r="D1627" s="1" t="s">
        <v>98</v>
      </c>
      <c r="E1627">
        <v>2360</v>
      </c>
      <c r="F1627">
        <v>1</v>
      </c>
      <c r="G1627" s="32">
        <v>1</v>
      </c>
      <c r="H1627">
        <v>1</v>
      </c>
      <c r="J1627" t="s">
        <v>19</v>
      </c>
      <c r="K1627" t="s">
        <v>20</v>
      </c>
      <c r="L1627" t="s">
        <v>26</v>
      </c>
    </row>
    <row r="1628" spans="2:12" ht="15.75" customHeight="1">
      <c r="B1628" t="s">
        <v>99</v>
      </c>
      <c r="C1628" s="3" t="s">
        <v>100</v>
      </c>
      <c r="D1628" s="1" t="s">
        <v>98</v>
      </c>
      <c r="E1628">
        <v>2370</v>
      </c>
      <c r="F1628">
        <v>1</v>
      </c>
      <c r="G1628" s="32">
        <v>3</v>
      </c>
      <c r="H1628">
        <v>0</v>
      </c>
      <c r="J1628" s="12" t="s">
        <v>46</v>
      </c>
    </row>
    <row r="1629" spans="2:12" ht="15.75" customHeight="1">
      <c r="D1629" t="s">
        <v>98</v>
      </c>
      <c r="E1629">
        <v>2380</v>
      </c>
      <c r="F1629">
        <v>1</v>
      </c>
      <c r="H1629">
        <v>2</v>
      </c>
    </row>
    <row r="1630" spans="2:12" ht="15.75" customHeight="1">
      <c r="B1630" t="s">
        <v>99</v>
      </c>
      <c r="C1630" s="3" t="s">
        <v>100</v>
      </c>
      <c r="D1630" s="1" t="s">
        <v>98</v>
      </c>
      <c r="E1630">
        <v>2390</v>
      </c>
      <c r="F1630">
        <v>1</v>
      </c>
      <c r="G1630" s="32">
        <v>1</v>
      </c>
      <c r="H1630">
        <v>1</v>
      </c>
      <c r="J1630" t="s">
        <v>19</v>
      </c>
      <c r="K1630" t="s">
        <v>20</v>
      </c>
      <c r="L1630" t="s">
        <v>26</v>
      </c>
    </row>
    <row r="1631" spans="2:12" ht="15.75" customHeight="1">
      <c r="D1631" t="s">
        <v>98</v>
      </c>
      <c r="E1631">
        <v>2400</v>
      </c>
      <c r="I1631" t="s">
        <v>56</v>
      </c>
    </row>
    <row r="1632" spans="2:12" ht="15.75" customHeight="1">
      <c r="D1632" t="s">
        <v>98</v>
      </c>
      <c r="E1632">
        <v>2410</v>
      </c>
      <c r="F1632">
        <v>1</v>
      </c>
      <c r="H1632">
        <v>1</v>
      </c>
    </row>
    <row r="1633" spans="2:12" ht="15.75" customHeight="1">
      <c r="D1633" t="s">
        <v>98</v>
      </c>
      <c r="E1633">
        <v>2420</v>
      </c>
      <c r="F1633">
        <v>0</v>
      </c>
    </row>
    <row r="1634" spans="2:12" ht="15.75" customHeight="1">
      <c r="B1634" t="s">
        <v>99</v>
      </c>
      <c r="C1634" s="3" t="s">
        <v>100</v>
      </c>
      <c r="D1634" s="1" t="s">
        <v>98</v>
      </c>
      <c r="E1634">
        <v>2430</v>
      </c>
      <c r="F1634">
        <v>1</v>
      </c>
      <c r="G1634" s="32">
        <v>1</v>
      </c>
      <c r="H1634">
        <v>1</v>
      </c>
      <c r="J1634" t="s">
        <v>19</v>
      </c>
      <c r="K1634" t="s">
        <v>20</v>
      </c>
      <c r="L1634" t="s">
        <v>26</v>
      </c>
    </row>
    <row r="1635" spans="2:12" ht="15.75" customHeight="1">
      <c r="B1635" t="s">
        <v>99</v>
      </c>
      <c r="C1635" s="3" t="s">
        <v>100</v>
      </c>
      <c r="D1635" s="1" t="s">
        <v>98</v>
      </c>
      <c r="E1635">
        <v>2430</v>
      </c>
      <c r="F1635">
        <v>2</v>
      </c>
      <c r="G1635" s="32">
        <v>2</v>
      </c>
      <c r="H1635">
        <v>2</v>
      </c>
      <c r="J1635" t="s">
        <v>42</v>
      </c>
      <c r="K1635" t="s">
        <v>20</v>
      </c>
      <c r="L1635" t="s">
        <v>26</v>
      </c>
    </row>
    <row r="1636" spans="2:12" ht="15.75" customHeight="1">
      <c r="B1636" t="s">
        <v>99</v>
      </c>
      <c r="C1636" s="3" t="s">
        <v>100</v>
      </c>
      <c r="D1636" s="1" t="s">
        <v>98</v>
      </c>
      <c r="E1636">
        <v>2430</v>
      </c>
      <c r="F1636">
        <v>3</v>
      </c>
      <c r="G1636" s="32">
        <v>2</v>
      </c>
      <c r="H1636">
        <v>2</v>
      </c>
      <c r="J1636" t="s">
        <v>101</v>
      </c>
      <c r="K1636" t="s">
        <v>36</v>
      </c>
      <c r="L1636" t="s">
        <v>28</v>
      </c>
    </row>
    <row r="1637" spans="2:12" ht="15.75" customHeight="1">
      <c r="B1637" t="s">
        <v>99</v>
      </c>
      <c r="C1637" s="3" t="s">
        <v>100</v>
      </c>
      <c r="D1637" s="1" t="s">
        <v>98</v>
      </c>
      <c r="E1637">
        <v>2440</v>
      </c>
      <c r="F1637">
        <v>1</v>
      </c>
      <c r="G1637" s="32">
        <v>2</v>
      </c>
      <c r="H1637">
        <v>1</v>
      </c>
      <c r="J1637" t="s">
        <v>19</v>
      </c>
      <c r="K1637" t="s">
        <v>20</v>
      </c>
      <c r="L1637" t="s">
        <v>26</v>
      </c>
    </row>
    <row r="1638" spans="2:12" ht="15.75" customHeight="1">
      <c r="B1638" t="s">
        <v>99</v>
      </c>
      <c r="C1638" s="3" t="s">
        <v>100</v>
      </c>
      <c r="D1638" s="1" t="s">
        <v>98</v>
      </c>
      <c r="E1638">
        <v>2440</v>
      </c>
      <c r="F1638">
        <v>2</v>
      </c>
      <c r="G1638" s="32">
        <v>1</v>
      </c>
      <c r="H1638">
        <v>2</v>
      </c>
      <c r="J1638" t="s">
        <v>42</v>
      </c>
      <c r="K1638" t="s">
        <v>20</v>
      </c>
      <c r="L1638" t="s">
        <v>26</v>
      </c>
    </row>
    <row r="1639" spans="2:12" ht="15.75" customHeight="1">
      <c r="B1639" t="s">
        <v>99</v>
      </c>
      <c r="C1639" s="3" t="s">
        <v>100</v>
      </c>
      <c r="D1639" s="1" t="s">
        <v>98</v>
      </c>
      <c r="E1639">
        <v>2440</v>
      </c>
      <c r="F1639">
        <v>3</v>
      </c>
      <c r="G1639" s="32">
        <v>2</v>
      </c>
      <c r="H1639">
        <v>2</v>
      </c>
      <c r="J1639" t="s">
        <v>101</v>
      </c>
      <c r="K1639" t="s">
        <v>36</v>
      </c>
      <c r="L1639" t="s">
        <v>28</v>
      </c>
    </row>
    <row r="1640" spans="2:12" ht="15.75" customHeight="1">
      <c r="D1640" t="s">
        <v>98</v>
      </c>
      <c r="E1640">
        <v>2450</v>
      </c>
      <c r="F1640">
        <v>1</v>
      </c>
      <c r="H1640">
        <v>2</v>
      </c>
      <c r="J1640" t="s">
        <v>19</v>
      </c>
      <c r="K1640" t="s">
        <v>20</v>
      </c>
      <c r="L1640" t="s">
        <v>26</v>
      </c>
    </row>
    <row r="1641" spans="2:12" ht="15.75" customHeight="1">
      <c r="D1641" t="s">
        <v>98</v>
      </c>
      <c r="E1641">
        <v>2450</v>
      </c>
      <c r="F1641">
        <v>2</v>
      </c>
      <c r="H1641">
        <v>2</v>
      </c>
      <c r="J1641" t="s">
        <v>42</v>
      </c>
      <c r="K1641" t="s">
        <v>20</v>
      </c>
      <c r="L1641" t="s">
        <v>26</v>
      </c>
    </row>
    <row r="1642" spans="2:12" ht="15.75" customHeight="1">
      <c r="D1642" t="s">
        <v>98</v>
      </c>
      <c r="E1642">
        <v>2450</v>
      </c>
      <c r="F1642">
        <v>3</v>
      </c>
      <c r="H1642">
        <v>2</v>
      </c>
      <c r="J1642" t="s">
        <v>103</v>
      </c>
      <c r="K1642" t="s">
        <v>27</v>
      </c>
      <c r="L1642" t="s">
        <v>28</v>
      </c>
    </row>
    <row r="1643" spans="2:12" ht="15.75" customHeight="1">
      <c r="D1643" t="s">
        <v>98</v>
      </c>
      <c r="E1643">
        <v>2460</v>
      </c>
      <c r="I1643" t="s">
        <v>56</v>
      </c>
    </row>
    <row r="1644" spans="2:12" ht="15.75" customHeight="1">
      <c r="B1644" t="s">
        <v>99</v>
      </c>
      <c r="C1644" s="3" t="s">
        <v>100</v>
      </c>
      <c r="D1644" s="1" t="s">
        <v>98</v>
      </c>
      <c r="E1644">
        <v>2470</v>
      </c>
      <c r="F1644">
        <v>1</v>
      </c>
      <c r="G1644" s="32">
        <v>2</v>
      </c>
      <c r="H1644">
        <v>2</v>
      </c>
      <c r="J1644" t="s">
        <v>19</v>
      </c>
      <c r="K1644" t="s">
        <v>20</v>
      </c>
      <c r="L1644" t="s">
        <v>26</v>
      </c>
    </row>
    <row r="1645" spans="2:12" ht="15.75" customHeight="1">
      <c r="B1645" t="s">
        <v>99</v>
      </c>
      <c r="C1645" s="3" t="s">
        <v>100</v>
      </c>
      <c r="D1645" s="1" t="s">
        <v>98</v>
      </c>
      <c r="E1645">
        <v>2470</v>
      </c>
      <c r="F1645">
        <v>2</v>
      </c>
      <c r="G1645" s="32">
        <v>2</v>
      </c>
      <c r="H1645">
        <v>2</v>
      </c>
      <c r="J1645" t="s">
        <v>42</v>
      </c>
      <c r="K1645" t="s">
        <v>20</v>
      </c>
      <c r="L1645" t="s">
        <v>26</v>
      </c>
    </row>
    <row r="1646" spans="2:12" ht="15.75" customHeight="1">
      <c r="B1646" t="s">
        <v>99</v>
      </c>
      <c r="C1646" s="3" t="s">
        <v>100</v>
      </c>
      <c r="D1646" s="1" t="s">
        <v>98</v>
      </c>
      <c r="E1646">
        <v>2470</v>
      </c>
      <c r="F1646">
        <v>3</v>
      </c>
      <c r="G1646" s="32">
        <v>2</v>
      </c>
      <c r="H1646">
        <v>2</v>
      </c>
      <c r="J1646" t="s">
        <v>52</v>
      </c>
      <c r="K1646" t="s">
        <v>37</v>
      </c>
      <c r="L1646" t="s">
        <v>28</v>
      </c>
    </row>
    <row r="1647" spans="2:12" ht="15.75" customHeight="1">
      <c r="B1647" t="s">
        <v>99</v>
      </c>
      <c r="C1647" s="3" t="s">
        <v>100</v>
      </c>
      <c r="D1647" s="1" t="s">
        <v>98</v>
      </c>
      <c r="E1647">
        <v>2470</v>
      </c>
      <c r="F1647">
        <v>4</v>
      </c>
      <c r="G1647" s="32">
        <v>3</v>
      </c>
      <c r="H1647">
        <v>0</v>
      </c>
      <c r="J1647" s="12" t="s">
        <v>46</v>
      </c>
    </row>
    <row r="1648" spans="2:12" ht="15.75" customHeight="1">
      <c r="D1648" t="s">
        <v>98</v>
      </c>
      <c r="E1648">
        <v>2480</v>
      </c>
      <c r="F1648">
        <v>1</v>
      </c>
      <c r="H1648">
        <v>2</v>
      </c>
      <c r="J1648" t="s">
        <v>19</v>
      </c>
      <c r="K1648" t="s">
        <v>20</v>
      </c>
      <c r="L1648" t="s">
        <v>26</v>
      </c>
    </row>
    <row r="1649" spans="2:12" ht="15.75" customHeight="1">
      <c r="D1649" t="s">
        <v>98</v>
      </c>
      <c r="E1649">
        <v>2480</v>
      </c>
      <c r="F1649">
        <v>2</v>
      </c>
      <c r="H1649">
        <v>2</v>
      </c>
      <c r="J1649" t="s">
        <v>42</v>
      </c>
      <c r="K1649" t="s">
        <v>20</v>
      </c>
      <c r="L1649" t="s">
        <v>26</v>
      </c>
    </row>
    <row r="1650" spans="2:12" ht="15.75" customHeight="1">
      <c r="D1650" t="s">
        <v>98</v>
      </c>
      <c r="E1650">
        <v>2480</v>
      </c>
      <c r="F1650">
        <v>3</v>
      </c>
      <c r="H1650">
        <v>2</v>
      </c>
      <c r="J1650" t="s">
        <v>53</v>
      </c>
      <c r="K1650" t="s">
        <v>31</v>
      </c>
      <c r="L1650" t="s">
        <v>28</v>
      </c>
    </row>
    <row r="1651" spans="2:12" ht="15.75" customHeight="1">
      <c r="B1651" t="s">
        <v>99</v>
      </c>
      <c r="C1651" s="3" t="s">
        <v>100</v>
      </c>
      <c r="D1651" s="1" t="s">
        <v>98</v>
      </c>
      <c r="E1651">
        <v>2490</v>
      </c>
      <c r="F1651">
        <v>1</v>
      </c>
      <c r="G1651" s="32">
        <v>2</v>
      </c>
      <c r="H1651">
        <v>1</v>
      </c>
      <c r="J1651" t="s">
        <v>19</v>
      </c>
      <c r="K1651" t="s">
        <v>20</v>
      </c>
      <c r="L1651" t="s">
        <v>26</v>
      </c>
    </row>
    <row r="1652" spans="2:12" ht="15.75" customHeight="1">
      <c r="B1652" t="s">
        <v>99</v>
      </c>
      <c r="C1652" s="3" t="s">
        <v>100</v>
      </c>
      <c r="D1652" s="1" t="s">
        <v>98</v>
      </c>
      <c r="E1652">
        <v>2490</v>
      </c>
      <c r="F1652">
        <v>2</v>
      </c>
      <c r="G1652" s="32">
        <v>3</v>
      </c>
      <c r="H1652">
        <v>0</v>
      </c>
      <c r="J1652" s="12" t="s">
        <v>46</v>
      </c>
    </row>
    <row r="1653" spans="2:12" ht="15.75" customHeight="1">
      <c r="B1653" t="s">
        <v>99</v>
      </c>
      <c r="C1653" s="3" t="s">
        <v>100</v>
      </c>
      <c r="D1653" s="1" t="s">
        <v>98</v>
      </c>
      <c r="E1653">
        <v>2490</v>
      </c>
      <c r="F1653">
        <v>3</v>
      </c>
      <c r="G1653" s="32">
        <v>2</v>
      </c>
      <c r="H1653">
        <v>1</v>
      </c>
      <c r="J1653" t="s">
        <v>42</v>
      </c>
      <c r="K1653" t="s">
        <v>20</v>
      </c>
      <c r="L1653" t="s">
        <v>26</v>
      </c>
    </row>
    <row r="1654" spans="2:12" ht="15.75" customHeight="1">
      <c r="B1654" t="s">
        <v>99</v>
      </c>
      <c r="C1654" s="3" t="s">
        <v>100</v>
      </c>
      <c r="D1654" s="1" t="s">
        <v>98</v>
      </c>
      <c r="E1654">
        <v>2490</v>
      </c>
      <c r="F1654">
        <v>4</v>
      </c>
      <c r="G1654" s="32">
        <v>0</v>
      </c>
      <c r="H1654">
        <v>0</v>
      </c>
      <c r="J1654" t="s">
        <v>52</v>
      </c>
      <c r="L1654" t="s">
        <v>28</v>
      </c>
    </row>
    <row r="1655" spans="2:12" ht="15.75" customHeight="1">
      <c r="B1655" t="s">
        <v>99</v>
      </c>
      <c r="C1655" s="3" t="s">
        <v>100</v>
      </c>
      <c r="D1655" s="1" t="s">
        <v>98</v>
      </c>
      <c r="E1655">
        <v>2500</v>
      </c>
      <c r="F1655">
        <v>1</v>
      </c>
      <c r="G1655" s="32">
        <v>1</v>
      </c>
      <c r="H1655">
        <v>1</v>
      </c>
      <c r="J1655" t="s">
        <v>19</v>
      </c>
      <c r="K1655" t="s">
        <v>20</v>
      </c>
      <c r="L1655" t="s">
        <v>26</v>
      </c>
    </row>
    <row r="1656" spans="2:12" ht="15.75" customHeight="1">
      <c r="B1656" t="s">
        <v>99</v>
      </c>
      <c r="C1656" s="3" t="s">
        <v>100</v>
      </c>
      <c r="D1656" s="1" t="s">
        <v>98</v>
      </c>
      <c r="E1656">
        <v>2500</v>
      </c>
      <c r="F1656">
        <v>2</v>
      </c>
      <c r="G1656" s="32">
        <v>2</v>
      </c>
      <c r="H1656">
        <v>2</v>
      </c>
      <c r="J1656" t="s">
        <v>42</v>
      </c>
      <c r="K1656" t="s">
        <v>20</v>
      </c>
      <c r="L1656" t="s">
        <v>26</v>
      </c>
    </row>
    <row r="1657" spans="2:12" ht="15.75" customHeight="1">
      <c r="B1657" t="s">
        <v>99</v>
      </c>
      <c r="C1657" s="3" t="s">
        <v>100</v>
      </c>
      <c r="D1657" s="1" t="s">
        <v>98</v>
      </c>
      <c r="E1657">
        <v>2500</v>
      </c>
      <c r="F1657">
        <v>3</v>
      </c>
      <c r="G1657" s="32">
        <v>2</v>
      </c>
      <c r="H1657">
        <v>2</v>
      </c>
      <c r="J1657" t="s">
        <v>52</v>
      </c>
      <c r="K1657" t="s">
        <v>33</v>
      </c>
      <c r="L1657" t="s">
        <v>28</v>
      </c>
    </row>
    <row r="1658" spans="2:12" ht="15.75" customHeight="1">
      <c r="D1658" t="s">
        <v>98</v>
      </c>
      <c r="E1658">
        <v>2510</v>
      </c>
      <c r="F1658">
        <v>1</v>
      </c>
      <c r="H1658">
        <v>2</v>
      </c>
      <c r="J1658" t="s">
        <v>19</v>
      </c>
      <c r="K1658" t="s">
        <v>20</v>
      </c>
      <c r="L1658" t="s">
        <v>26</v>
      </c>
    </row>
    <row r="1659" spans="2:12" ht="15.75" customHeight="1">
      <c r="D1659" t="s">
        <v>98</v>
      </c>
      <c r="E1659">
        <v>2510</v>
      </c>
      <c r="F1659">
        <v>2</v>
      </c>
      <c r="H1659">
        <v>2</v>
      </c>
      <c r="J1659" t="s">
        <v>42</v>
      </c>
      <c r="K1659" t="s">
        <v>20</v>
      </c>
      <c r="L1659" t="s">
        <v>26</v>
      </c>
    </row>
    <row r="1660" spans="2:12" ht="15.75" customHeight="1">
      <c r="D1660" t="s">
        <v>98</v>
      </c>
      <c r="E1660">
        <v>2520</v>
      </c>
      <c r="F1660">
        <v>1</v>
      </c>
      <c r="H1660">
        <v>2</v>
      </c>
      <c r="J1660" t="s">
        <v>19</v>
      </c>
      <c r="K1660" t="s">
        <v>20</v>
      </c>
      <c r="L1660" t="s">
        <v>26</v>
      </c>
    </row>
    <row r="1661" spans="2:12" ht="15.75" customHeight="1">
      <c r="D1661" t="s">
        <v>98</v>
      </c>
      <c r="E1661">
        <v>2520</v>
      </c>
      <c r="F1661">
        <v>2</v>
      </c>
      <c r="H1661">
        <v>2</v>
      </c>
      <c r="J1661" t="s">
        <v>42</v>
      </c>
      <c r="K1661" t="s">
        <v>20</v>
      </c>
      <c r="L1661" t="s">
        <v>26</v>
      </c>
    </row>
    <row r="1662" spans="2:12" ht="15.75" customHeight="1">
      <c r="D1662" t="s">
        <v>98</v>
      </c>
      <c r="E1662">
        <v>2520</v>
      </c>
      <c r="F1662">
        <v>3</v>
      </c>
      <c r="H1662">
        <v>2</v>
      </c>
      <c r="J1662" t="s">
        <v>53</v>
      </c>
      <c r="K1662" t="s">
        <v>31</v>
      </c>
      <c r="L1662" t="s">
        <v>28</v>
      </c>
    </row>
    <row r="1663" spans="2:12" ht="15.75" customHeight="1">
      <c r="B1663" t="s">
        <v>99</v>
      </c>
      <c r="C1663" s="3" t="s">
        <v>100</v>
      </c>
      <c r="D1663" s="1" t="s">
        <v>98</v>
      </c>
      <c r="E1663">
        <v>2530</v>
      </c>
      <c r="F1663">
        <v>1</v>
      </c>
      <c r="G1663" s="32">
        <v>1</v>
      </c>
      <c r="H1663">
        <v>1</v>
      </c>
      <c r="J1663" t="s">
        <v>19</v>
      </c>
      <c r="K1663" t="s">
        <v>20</v>
      </c>
      <c r="L1663" t="s">
        <v>26</v>
      </c>
    </row>
    <row r="1664" spans="2:12" ht="15.75" customHeight="1">
      <c r="B1664" t="s">
        <v>99</v>
      </c>
      <c r="C1664" s="3" t="s">
        <v>100</v>
      </c>
      <c r="D1664" s="1" t="s">
        <v>98</v>
      </c>
      <c r="E1664">
        <v>2530</v>
      </c>
      <c r="F1664">
        <v>2</v>
      </c>
      <c r="G1664" s="32">
        <v>2</v>
      </c>
      <c r="H1664">
        <v>2</v>
      </c>
      <c r="J1664" t="s">
        <v>42</v>
      </c>
      <c r="K1664" t="s">
        <v>20</v>
      </c>
      <c r="L1664" t="s">
        <v>26</v>
      </c>
    </row>
    <row r="1665" spans="2:12" ht="15.75" customHeight="1">
      <c r="B1665" t="s">
        <v>99</v>
      </c>
      <c r="C1665" s="3" t="s">
        <v>100</v>
      </c>
      <c r="D1665" s="1" t="s">
        <v>98</v>
      </c>
      <c r="E1665">
        <v>2530</v>
      </c>
      <c r="F1665">
        <v>3</v>
      </c>
      <c r="G1665" s="32">
        <v>1</v>
      </c>
      <c r="H1665">
        <v>2</v>
      </c>
      <c r="J1665" t="s">
        <v>101</v>
      </c>
      <c r="K1665" t="s">
        <v>36</v>
      </c>
      <c r="L1665" t="s">
        <v>28</v>
      </c>
    </row>
    <row r="1666" spans="2:12" ht="15.75" customHeight="1">
      <c r="B1666" t="s">
        <v>99</v>
      </c>
      <c r="C1666" s="3" t="s">
        <v>100</v>
      </c>
      <c r="D1666" s="1" t="s">
        <v>98</v>
      </c>
      <c r="E1666">
        <v>2540</v>
      </c>
      <c r="F1666">
        <v>1</v>
      </c>
      <c r="G1666" s="32">
        <v>1</v>
      </c>
      <c r="H1666">
        <v>1</v>
      </c>
      <c r="J1666" t="s">
        <v>19</v>
      </c>
      <c r="K1666" t="s">
        <v>20</v>
      </c>
      <c r="L1666" t="s">
        <v>26</v>
      </c>
    </row>
    <row r="1667" spans="2:12" ht="15.75" customHeight="1">
      <c r="B1667" t="s">
        <v>99</v>
      </c>
      <c r="C1667" s="3" t="s">
        <v>100</v>
      </c>
      <c r="D1667" s="1" t="s">
        <v>98</v>
      </c>
      <c r="E1667">
        <v>2540</v>
      </c>
      <c r="F1667">
        <v>2</v>
      </c>
      <c r="G1667" s="32">
        <v>2</v>
      </c>
      <c r="H1667">
        <v>2</v>
      </c>
      <c r="J1667" t="s">
        <v>42</v>
      </c>
      <c r="K1667" t="s">
        <v>20</v>
      </c>
      <c r="L1667" t="s">
        <v>26</v>
      </c>
    </row>
    <row r="1668" spans="2:12" ht="15.75" customHeight="1">
      <c r="B1668" t="s">
        <v>99</v>
      </c>
      <c r="C1668" s="3" t="s">
        <v>100</v>
      </c>
      <c r="D1668" s="1" t="s">
        <v>98</v>
      </c>
      <c r="E1668">
        <v>2540</v>
      </c>
      <c r="F1668">
        <v>3</v>
      </c>
      <c r="G1668" s="32">
        <v>2</v>
      </c>
      <c r="H1668">
        <v>2</v>
      </c>
      <c r="J1668" t="s">
        <v>101</v>
      </c>
      <c r="K1668" t="s">
        <v>36</v>
      </c>
      <c r="L1668" t="s">
        <v>28</v>
      </c>
    </row>
    <row r="1669" spans="2:12" ht="15.75" customHeight="1">
      <c r="D1669" t="s">
        <v>98</v>
      </c>
      <c r="E1669">
        <v>2550</v>
      </c>
      <c r="F1669">
        <v>1</v>
      </c>
      <c r="H1669">
        <v>2</v>
      </c>
      <c r="J1669" t="s">
        <v>19</v>
      </c>
      <c r="K1669" t="s">
        <v>20</v>
      </c>
      <c r="L1669" t="s">
        <v>26</v>
      </c>
    </row>
    <row r="1670" spans="2:12" ht="15.75" customHeight="1">
      <c r="D1670" t="s">
        <v>98</v>
      </c>
      <c r="E1670">
        <v>2550</v>
      </c>
      <c r="F1670">
        <v>2</v>
      </c>
      <c r="H1670">
        <v>2</v>
      </c>
      <c r="J1670" t="s">
        <v>42</v>
      </c>
      <c r="K1670" t="s">
        <v>20</v>
      </c>
      <c r="L1670" t="s">
        <v>26</v>
      </c>
    </row>
    <row r="1671" spans="2:12" ht="15.75" customHeight="1">
      <c r="D1671" t="s">
        <v>98</v>
      </c>
      <c r="E1671">
        <v>2550</v>
      </c>
      <c r="F1671">
        <v>3</v>
      </c>
      <c r="H1671">
        <v>2</v>
      </c>
      <c r="I1671" t="s">
        <v>106</v>
      </c>
    </row>
    <row r="1672" spans="2:12" ht="15.75" customHeight="1">
      <c r="B1672" t="s">
        <v>99</v>
      </c>
      <c r="C1672" s="3" t="s">
        <v>100</v>
      </c>
      <c r="D1672" s="1" t="s">
        <v>98</v>
      </c>
      <c r="E1672">
        <v>2560</v>
      </c>
      <c r="F1672">
        <v>1</v>
      </c>
      <c r="G1672" s="32">
        <v>1</v>
      </c>
      <c r="H1672">
        <v>2</v>
      </c>
      <c r="J1672" t="s">
        <v>19</v>
      </c>
      <c r="K1672" t="s">
        <v>20</v>
      </c>
      <c r="L1672" t="s">
        <v>26</v>
      </c>
    </row>
    <row r="1673" spans="2:12" ht="15.75" customHeight="1">
      <c r="B1673" t="s">
        <v>99</v>
      </c>
      <c r="C1673" s="3" t="s">
        <v>100</v>
      </c>
      <c r="D1673" s="1" t="s">
        <v>98</v>
      </c>
      <c r="E1673">
        <v>2560</v>
      </c>
      <c r="F1673">
        <v>2</v>
      </c>
      <c r="G1673" s="32">
        <v>2</v>
      </c>
      <c r="H1673">
        <v>1</v>
      </c>
      <c r="J1673" t="s">
        <v>42</v>
      </c>
      <c r="K1673" t="s">
        <v>20</v>
      </c>
      <c r="L1673" t="s">
        <v>26</v>
      </c>
    </row>
    <row r="1674" spans="2:12" ht="15.75" customHeight="1">
      <c r="B1674" t="s">
        <v>99</v>
      </c>
      <c r="C1674" s="3" t="s">
        <v>100</v>
      </c>
      <c r="D1674" s="1" t="s">
        <v>98</v>
      </c>
      <c r="E1674">
        <v>2560</v>
      </c>
      <c r="F1674">
        <v>3</v>
      </c>
      <c r="G1674" s="32">
        <v>0</v>
      </c>
      <c r="H1674">
        <v>0</v>
      </c>
      <c r="J1674" t="s">
        <v>47</v>
      </c>
      <c r="L1674" t="s">
        <v>28</v>
      </c>
    </row>
    <row r="1675" spans="2:12" ht="15.75" customHeight="1">
      <c r="D1675" t="s">
        <v>98</v>
      </c>
      <c r="E1675">
        <v>2570</v>
      </c>
      <c r="F1675">
        <v>1</v>
      </c>
      <c r="H1675">
        <v>2</v>
      </c>
      <c r="J1675" t="s">
        <v>19</v>
      </c>
      <c r="K1675" t="s">
        <v>20</v>
      </c>
      <c r="L1675" t="s">
        <v>26</v>
      </c>
    </row>
    <row r="1676" spans="2:12" ht="15.75" customHeight="1">
      <c r="D1676" t="s">
        <v>98</v>
      </c>
      <c r="E1676">
        <v>2570</v>
      </c>
      <c r="F1676">
        <v>2</v>
      </c>
      <c r="H1676">
        <v>2</v>
      </c>
      <c r="J1676" t="s">
        <v>42</v>
      </c>
      <c r="K1676" t="s">
        <v>20</v>
      </c>
      <c r="L1676" t="s">
        <v>26</v>
      </c>
    </row>
    <row r="1677" spans="2:12" ht="15.75" customHeight="1">
      <c r="D1677" t="s">
        <v>98</v>
      </c>
      <c r="E1677">
        <v>2570</v>
      </c>
      <c r="F1677">
        <v>3</v>
      </c>
      <c r="H1677">
        <v>2</v>
      </c>
      <c r="J1677" t="s">
        <v>53</v>
      </c>
      <c r="K1677" t="s">
        <v>31</v>
      </c>
      <c r="L1677" t="s">
        <v>28</v>
      </c>
    </row>
    <row r="1678" spans="2:12" ht="15.75" customHeight="1">
      <c r="D1678" t="s">
        <v>98</v>
      </c>
      <c r="E1678">
        <v>2580</v>
      </c>
      <c r="F1678">
        <v>1</v>
      </c>
      <c r="H1678">
        <v>2</v>
      </c>
      <c r="J1678" t="s">
        <v>19</v>
      </c>
      <c r="K1678" t="s">
        <v>20</v>
      </c>
      <c r="L1678" t="s">
        <v>26</v>
      </c>
    </row>
    <row r="1679" spans="2:12" ht="15.75" customHeight="1">
      <c r="D1679" t="s">
        <v>98</v>
      </c>
      <c r="E1679">
        <v>2580</v>
      </c>
      <c r="F1679">
        <v>2</v>
      </c>
      <c r="H1679">
        <v>2</v>
      </c>
      <c r="J1679" t="s">
        <v>42</v>
      </c>
      <c r="K1679" t="s">
        <v>20</v>
      </c>
      <c r="L1679" t="s">
        <v>26</v>
      </c>
    </row>
    <row r="1680" spans="2:12" ht="15.75" customHeight="1">
      <c r="D1680" t="s">
        <v>98</v>
      </c>
      <c r="E1680">
        <v>2580</v>
      </c>
      <c r="F1680">
        <v>3</v>
      </c>
      <c r="H1680">
        <v>2</v>
      </c>
      <c r="J1680" t="s">
        <v>53</v>
      </c>
      <c r="K1680" t="s">
        <v>34</v>
      </c>
      <c r="L1680" t="s">
        <v>28</v>
      </c>
    </row>
    <row r="1681" spans="2:12" ht="15.75" customHeight="1">
      <c r="B1681" t="s">
        <v>99</v>
      </c>
      <c r="C1681" s="3" t="s">
        <v>100</v>
      </c>
      <c r="D1681" s="1" t="s">
        <v>98</v>
      </c>
      <c r="E1681">
        <v>2590</v>
      </c>
      <c r="F1681">
        <v>1</v>
      </c>
      <c r="G1681" s="32">
        <v>1</v>
      </c>
      <c r="H1681">
        <v>1</v>
      </c>
      <c r="J1681" t="s">
        <v>19</v>
      </c>
      <c r="K1681" t="s">
        <v>20</v>
      </c>
      <c r="L1681" t="s">
        <v>26</v>
      </c>
    </row>
    <row r="1682" spans="2:12" ht="15.75" customHeight="1">
      <c r="B1682" t="s">
        <v>99</v>
      </c>
      <c r="C1682" s="3" t="s">
        <v>100</v>
      </c>
      <c r="D1682" s="1" t="s">
        <v>98</v>
      </c>
      <c r="E1682">
        <v>2590</v>
      </c>
      <c r="F1682">
        <v>2</v>
      </c>
      <c r="G1682" s="32">
        <v>2</v>
      </c>
      <c r="H1682">
        <v>2</v>
      </c>
      <c r="J1682" t="s">
        <v>42</v>
      </c>
      <c r="K1682" t="s">
        <v>20</v>
      </c>
      <c r="L1682" t="s">
        <v>26</v>
      </c>
    </row>
    <row r="1683" spans="2:12" ht="15.75" customHeight="1">
      <c r="B1683" t="s">
        <v>99</v>
      </c>
      <c r="C1683" s="3" t="s">
        <v>100</v>
      </c>
      <c r="D1683" s="1" t="s">
        <v>98</v>
      </c>
      <c r="E1683">
        <v>2600</v>
      </c>
      <c r="F1683">
        <v>1</v>
      </c>
      <c r="G1683" s="32">
        <v>1</v>
      </c>
      <c r="H1683">
        <v>1</v>
      </c>
      <c r="J1683" t="s">
        <v>19</v>
      </c>
      <c r="K1683" t="s">
        <v>20</v>
      </c>
      <c r="L1683" t="s">
        <v>26</v>
      </c>
    </row>
    <row r="1684" spans="2:12" ht="15.75" customHeight="1">
      <c r="B1684" t="s">
        <v>99</v>
      </c>
      <c r="C1684" s="3" t="s">
        <v>100</v>
      </c>
      <c r="D1684" s="1" t="s">
        <v>98</v>
      </c>
      <c r="E1684">
        <v>2600</v>
      </c>
      <c r="F1684">
        <v>2</v>
      </c>
      <c r="G1684" s="32">
        <v>2</v>
      </c>
      <c r="H1684">
        <v>2</v>
      </c>
      <c r="J1684" t="s">
        <v>42</v>
      </c>
      <c r="K1684" t="s">
        <v>20</v>
      </c>
      <c r="L1684" t="s">
        <v>26</v>
      </c>
    </row>
    <row r="1685" spans="2:12" ht="15.75" customHeight="1">
      <c r="D1685" t="s">
        <v>98</v>
      </c>
      <c r="E1685">
        <v>2610</v>
      </c>
      <c r="F1685">
        <v>1</v>
      </c>
      <c r="H1685">
        <v>2</v>
      </c>
      <c r="J1685" t="s">
        <v>19</v>
      </c>
      <c r="K1685" t="s">
        <v>20</v>
      </c>
      <c r="L1685" t="s">
        <v>26</v>
      </c>
    </row>
    <row r="1686" spans="2:12" ht="15.75" customHeight="1">
      <c r="D1686" t="s">
        <v>98</v>
      </c>
      <c r="E1686">
        <v>2610</v>
      </c>
      <c r="F1686">
        <v>2</v>
      </c>
      <c r="H1686">
        <v>2</v>
      </c>
      <c r="J1686" t="s">
        <v>42</v>
      </c>
      <c r="K1686" t="s">
        <v>20</v>
      </c>
      <c r="L1686" t="s">
        <v>26</v>
      </c>
    </row>
    <row r="1687" spans="2:12" ht="15.75" customHeight="1">
      <c r="B1687" t="s">
        <v>99</v>
      </c>
      <c r="C1687" s="3" t="s">
        <v>100</v>
      </c>
      <c r="D1687" s="1" t="s">
        <v>98</v>
      </c>
      <c r="E1687">
        <v>2620</v>
      </c>
      <c r="F1687">
        <v>1</v>
      </c>
      <c r="G1687" s="32">
        <v>2</v>
      </c>
      <c r="H1687">
        <v>1</v>
      </c>
      <c r="J1687" t="s">
        <v>19</v>
      </c>
      <c r="K1687" t="s">
        <v>20</v>
      </c>
      <c r="L1687" t="s">
        <v>26</v>
      </c>
    </row>
    <row r="1688" spans="2:12" ht="15.75" customHeight="1">
      <c r="B1688" t="s">
        <v>99</v>
      </c>
      <c r="C1688" s="3" t="s">
        <v>100</v>
      </c>
      <c r="D1688" s="1" t="s">
        <v>98</v>
      </c>
      <c r="E1688">
        <v>2620</v>
      </c>
      <c r="F1688">
        <v>2</v>
      </c>
      <c r="G1688" s="32">
        <v>1</v>
      </c>
      <c r="H1688">
        <v>2</v>
      </c>
      <c r="J1688" t="s">
        <v>42</v>
      </c>
      <c r="K1688" t="s">
        <v>20</v>
      </c>
      <c r="L1688" t="s">
        <v>26</v>
      </c>
    </row>
    <row r="1689" spans="2:12" ht="15.75" customHeight="1">
      <c r="B1689" t="s">
        <v>99</v>
      </c>
      <c r="C1689" s="3" t="s">
        <v>100</v>
      </c>
      <c r="D1689" s="1" t="s">
        <v>98</v>
      </c>
      <c r="E1689">
        <v>2620</v>
      </c>
      <c r="F1689">
        <v>3</v>
      </c>
      <c r="G1689" s="32">
        <v>2</v>
      </c>
      <c r="H1689">
        <v>2</v>
      </c>
      <c r="J1689" t="s">
        <v>35</v>
      </c>
      <c r="K1689" t="s">
        <v>36</v>
      </c>
      <c r="L1689" t="s">
        <v>28</v>
      </c>
    </row>
    <row r="1690" spans="2:12" ht="15.75" customHeight="1">
      <c r="B1690" t="s">
        <v>99</v>
      </c>
      <c r="C1690" s="3" t="s">
        <v>100</v>
      </c>
      <c r="D1690" s="1" t="s">
        <v>98</v>
      </c>
      <c r="E1690">
        <v>2630</v>
      </c>
      <c r="F1690">
        <v>1</v>
      </c>
      <c r="G1690" s="32">
        <v>1</v>
      </c>
      <c r="H1690">
        <v>1</v>
      </c>
      <c r="J1690" t="s">
        <v>19</v>
      </c>
      <c r="K1690" t="s">
        <v>20</v>
      </c>
      <c r="L1690" t="s">
        <v>26</v>
      </c>
    </row>
    <row r="1691" spans="2:12" ht="15.75" customHeight="1">
      <c r="B1691" t="s">
        <v>99</v>
      </c>
      <c r="C1691" s="3" t="s">
        <v>100</v>
      </c>
      <c r="D1691" s="1" t="s">
        <v>98</v>
      </c>
      <c r="E1691">
        <v>2630</v>
      </c>
      <c r="F1691">
        <v>2</v>
      </c>
      <c r="G1691" s="32">
        <v>2</v>
      </c>
      <c r="H1691">
        <v>2</v>
      </c>
      <c r="J1691" t="s">
        <v>42</v>
      </c>
      <c r="K1691" t="s">
        <v>20</v>
      </c>
      <c r="L1691" t="s">
        <v>26</v>
      </c>
    </row>
    <row r="1692" spans="2:12" ht="15.75" customHeight="1">
      <c r="B1692" t="s">
        <v>99</v>
      </c>
      <c r="C1692" s="3" t="s">
        <v>100</v>
      </c>
      <c r="D1692" s="1" t="s">
        <v>98</v>
      </c>
      <c r="E1692">
        <v>2630</v>
      </c>
      <c r="F1692">
        <v>3</v>
      </c>
      <c r="G1692" s="32">
        <v>0</v>
      </c>
      <c r="H1692">
        <v>0</v>
      </c>
      <c r="J1692" t="s">
        <v>47</v>
      </c>
      <c r="L1692" t="s">
        <v>28</v>
      </c>
    </row>
    <row r="1693" spans="2:12" ht="15.75" customHeight="1">
      <c r="B1693" t="s">
        <v>99</v>
      </c>
      <c r="C1693" s="3" t="s">
        <v>100</v>
      </c>
      <c r="D1693" s="1" t="s">
        <v>98</v>
      </c>
      <c r="E1693">
        <v>2640</v>
      </c>
      <c r="F1693">
        <v>1</v>
      </c>
      <c r="G1693" s="32">
        <v>1</v>
      </c>
      <c r="H1693">
        <v>1</v>
      </c>
      <c r="J1693" t="s">
        <v>19</v>
      </c>
      <c r="K1693" t="s">
        <v>20</v>
      </c>
      <c r="L1693" t="s">
        <v>26</v>
      </c>
    </row>
    <row r="1694" spans="2:12" ht="15.75" customHeight="1">
      <c r="B1694" t="s">
        <v>99</v>
      </c>
      <c r="C1694" s="3" t="s">
        <v>100</v>
      </c>
      <c r="D1694" s="1" t="s">
        <v>98</v>
      </c>
      <c r="E1694">
        <v>2640</v>
      </c>
      <c r="F1694">
        <v>2</v>
      </c>
      <c r="G1694" s="32">
        <v>2</v>
      </c>
      <c r="H1694">
        <v>2</v>
      </c>
      <c r="J1694" t="s">
        <v>42</v>
      </c>
      <c r="K1694" t="s">
        <v>20</v>
      </c>
      <c r="L1694" t="s">
        <v>26</v>
      </c>
    </row>
    <row r="1695" spans="2:12" ht="15.75" customHeight="1">
      <c r="B1695" t="s">
        <v>99</v>
      </c>
      <c r="C1695" s="3" t="s">
        <v>100</v>
      </c>
      <c r="D1695" s="1" t="s">
        <v>98</v>
      </c>
      <c r="E1695">
        <v>2640</v>
      </c>
      <c r="F1695">
        <v>3</v>
      </c>
      <c r="G1695" s="32">
        <v>0</v>
      </c>
      <c r="H1695">
        <v>0</v>
      </c>
      <c r="J1695" t="s">
        <v>47</v>
      </c>
      <c r="L1695" t="s">
        <v>28</v>
      </c>
    </row>
    <row r="1696" spans="2:12" ht="15.75" customHeight="1">
      <c r="B1696" t="s">
        <v>99</v>
      </c>
      <c r="C1696" s="3" t="s">
        <v>100</v>
      </c>
      <c r="D1696" s="1" t="s">
        <v>98</v>
      </c>
      <c r="E1696">
        <v>2650</v>
      </c>
      <c r="F1696">
        <v>1</v>
      </c>
      <c r="G1696" s="32">
        <v>1</v>
      </c>
      <c r="H1696">
        <v>1</v>
      </c>
      <c r="J1696" t="s">
        <v>19</v>
      </c>
      <c r="K1696" t="s">
        <v>20</v>
      </c>
      <c r="L1696" t="s">
        <v>26</v>
      </c>
    </row>
    <row r="1697" spans="2:12" ht="15.75" customHeight="1">
      <c r="B1697" t="s">
        <v>99</v>
      </c>
      <c r="C1697" s="3" t="s">
        <v>100</v>
      </c>
      <c r="D1697" s="1" t="s">
        <v>98</v>
      </c>
      <c r="E1697">
        <v>2650</v>
      </c>
      <c r="F1697">
        <v>2</v>
      </c>
      <c r="G1697" s="32">
        <v>1</v>
      </c>
      <c r="H1697">
        <v>2</v>
      </c>
      <c r="J1697" t="s">
        <v>42</v>
      </c>
      <c r="K1697" t="s">
        <v>20</v>
      </c>
      <c r="L1697" t="s">
        <v>26</v>
      </c>
    </row>
    <row r="1698" spans="2:12" ht="15.75" customHeight="1">
      <c r="B1698" t="s">
        <v>99</v>
      </c>
      <c r="C1698" s="3" t="s">
        <v>100</v>
      </c>
      <c r="D1698" s="1" t="s">
        <v>98</v>
      </c>
      <c r="E1698">
        <v>2650</v>
      </c>
      <c r="F1698">
        <v>3</v>
      </c>
      <c r="G1698" s="32">
        <v>0</v>
      </c>
      <c r="H1698">
        <v>0</v>
      </c>
      <c r="J1698" t="s">
        <v>52</v>
      </c>
      <c r="L1698" t="s">
        <v>28</v>
      </c>
    </row>
    <row r="1699" spans="2:12" ht="15.75" customHeight="1">
      <c r="D1699" t="s">
        <v>98</v>
      </c>
      <c r="E1699">
        <v>2660</v>
      </c>
      <c r="I1699" t="s">
        <v>56</v>
      </c>
    </row>
    <row r="1700" spans="2:12" ht="15.75" customHeight="1">
      <c r="D1700" t="s">
        <v>98</v>
      </c>
      <c r="E1700">
        <v>2670</v>
      </c>
      <c r="F1700">
        <v>1</v>
      </c>
      <c r="H1700">
        <v>2</v>
      </c>
      <c r="J1700" t="s">
        <v>19</v>
      </c>
      <c r="K1700" t="s">
        <v>20</v>
      </c>
      <c r="L1700" t="s">
        <v>26</v>
      </c>
    </row>
    <row r="1701" spans="2:12" ht="15.75" customHeight="1">
      <c r="D1701" t="s">
        <v>98</v>
      </c>
      <c r="E1701">
        <v>2670</v>
      </c>
      <c r="F1701">
        <v>2</v>
      </c>
      <c r="H1701">
        <v>2</v>
      </c>
      <c r="J1701" t="s">
        <v>53</v>
      </c>
      <c r="K1701" t="s">
        <v>34</v>
      </c>
      <c r="L1701" t="s">
        <v>28</v>
      </c>
    </row>
    <row r="1702" spans="2:12" ht="15.75" customHeight="1">
      <c r="D1702" t="s">
        <v>98</v>
      </c>
      <c r="E1702">
        <v>2680</v>
      </c>
      <c r="F1702">
        <v>1</v>
      </c>
      <c r="H1702">
        <v>2</v>
      </c>
      <c r="J1702" t="s">
        <v>19</v>
      </c>
      <c r="K1702" t="s">
        <v>20</v>
      </c>
      <c r="L1702" t="s">
        <v>26</v>
      </c>
    </row>
    <row r="1703" spans="2:12" ht="15.75" customHeight="1">
      <c r="D1703" t="s">
        <v>98</v>
      </c>
      <c r="E1703">
        <v>2680</v>
      </c>
      <c r="F1703">
        <v>2</v>
      </c>
      <c r="H1703">
        <v>2</v>
      </c>
      <c r="J1703" t="s">
        <v>53</v>
      </c>
      <c r="K1703" t="s">
        <v>31</v>
      </c>
      <c r="L1703" t="s">
        <v>28</v>
      </c>
    </row>
    <row r="1704" spans="2:12" ht="15.75" customHeight="1">
      <c r="D1704" t="s">
        <v>98</v>
      </c>
      <c r="E1704">
        <v>2690</v>
      </c>
      <c r="F1704">
        <v>1</v>
      </c>
      <c r="H1704">
        <v>2</v>
      </c>
      <c r="J1704" t="s">
        <v>19</v>
      </c>
      <c r="K1704" t="s">
        <v>20</v>
      </c>
      <c r="L1704" t="s">
        <v>26</v>
      </c>
    </row>
    <row r="1705" spans="2:12" ht="15.75" customHeight="1">
      <c r="D1705" t="s">
        <v>98</v>
      </c>
      <c r="E1705">
        <v>2690</v>
      </c>
      <c r="F1705">
        <v>2</v>
      </c>
      <c r="H1705">
        <v>2</v>
      </c>
      <c r="J1705" t="s">
        <v>53</v>
      </c>
      <c r="K1705" t="s">
        <v>34</v>
      </c>
      <c r="L1705" t="s">
        <v>28</v>
      </c>
    </row>
    <row r="1706" spans="2:12" ht="15.75" customHeight="1">
      <c r="B1706" t="s">
        <v>99</v>
      </c>
      <c r="C1706" s="3" t="s">
        <v>100</v>
      </c>
      <c r="D1706" s="1" t="s">
        <v>98</v>
      </c>
      <c r="E1706">
        <v>2700</v>
      </c>
      <c r="F1706">
        <v>1</v>
      </c>
      <c r="G1706" s="32">
        <v>1</v>
      </c>
      <c r="H1706">
        <v>1</v>
      </c>
      <c r="J1706" t="s">
        <v>19</v>
      </c>
      <c r="K1706" t="s">
        <v>20</v>
      </c>
      <c r="L1706" t="s">
        <v>26</v>
      </c>
    </row>
    <row r="1707" spans="2:12" ht="15.75" customHeight="1">
      <c r="B1707" t="s">
        <v>99</v>
      </c>
      <c r="C1707" s="3" t="s">
        <v>100</v>
      </c>
      <c r="D1707" s="1" t="s">
        <v>98</v>
      </c>
      <c r="E1707">
        <v>2700</v>
      </c>
      <c r="F1707">
        <v>2</v>
      </c>
      <c r="G1707" s="32">
        <v>2</v>
      </c>
      <c r="H1707">
        <v>2</v>
      </c>
      <c r="J1707" t="s">
        <v>42</v>
      </c>
      <c r="K1707" t="s">
        <v>20</v>
      </c>
      <c r="L1707" t="s">
        <v>26</v>
      </c>
    </row>
    <row r="1708" spans="2:12" ht="15.75" customHeight="1">
      <c r="D1708" t="s">
        <v>98</v>
      </c>
      <c r="E1708">
        <v>2710</v>
      </c>
      <c r="F1708">
        <v>1</v>
      </c>
      <c r="H1708">
        <v>1</v>
      </c>
      <c r="J1708" t="s">
        <v>19</v>
      </c>
      <c r="K1708" t="s">
        <v>20</v>
      </c>
      <c r="L1708" t="s">
        <v>26</v>
      </c>
    </row>
    <row r="1709" spans="2:12" ht="15.75" customHeight="1">
      <c r="D1709" t="s">
        <v>98</v>
      </c>
      <c r="E1709">
        <v>2710</v>
      </c>
      <c r="F1709">
        <v>2</v>
      </c>
      <c r="H1709">
        <v>2</v>
      </c>
      <c r="J1709" t="s">
        <v>42</v>
      </c>
      <c r="K1709" t="s">
        <v>20</v>
      </c>
      <c r="L1709" t="s">
        <v>26</v>
      </c>
    </row>
    <row r="1710" spans="2:12" ht="15.75" customHeight="1">
      <c r="D1710" t="s">
        <v>98</v>
      </c>
      <c r="E1710">
        <v>2710</v>
      </c>
      <c r="F1710">
        <v>3</v>
      </c>
      <c r="H1710">
        <v>2</v>
      </c>
      <c r="J1710" t="s">
        <v>38</v>
      </c>
      <c r="K1710" t="s">
        <v>34</v>
      </c>
      <c r="L1710" t="s">
        <v>28</v>
      </c>
    </row>
    <row r="1711" spans="2:12" ht="15.75" customHeight="1">
      <c r="D1711" t="s">
        <v>98</v>
      </c>
      <c r="E1711">
        <v>2720</v>
      </c>
      <c r="F1711">
        <v>1</v>
      </c>
      <c r="H1711">
        <v>2</v>
      </c>
      <c r="J1711" t="s">
        <v>19</v>
      </c>
      <c r="K1711" t="s">
        <v>20</v>
      </c>
      <c r="L1711" t="s">
        <v>26</v>
      </c>
    </row>
    <row r="1712" spans="2:12" ht="15.75" customHeight="1">
      <c r="D1712" t="s">
        <v>98</v>
      </c>
      <c r="E1712">
        <v>2720</v>
      </c>
      <c r="F1712">
        <v>2</v>
      </c>
      <c r="H1712">
        <v>2</v>
      </c>
      <c r="J1712" t="s">
        <v>38</v>
      </c>
      <c r="K1712" t="s">
        <v>34</v>
      </c>
      <c r="L1712" t="s">
        <v>28</v>
      </c>
    </row>
    <row r="1713" spans="2:12" ht="15.75" customHeight="1">
      <c r="B1713" t="s">
        <v>99</v>
      </c>
      <c r="C1713" s="3" t="s">
        <v>100</v>
      </c>
      <c r="D1713" s="1" t="s">
        <v>98</v>
      </c>
      <c r="E1713">
        <v>2730</v>
      </c>
      <c r="F1713">
        <v>1</v>
      </c>
      <c r="G1713" s="32">
        <v>1</v>
      </c>
      <c r="H1713">
        <v>1</v>
      </c>
      <c r="J1713" t="s">
        <v>19</v>
      </c>
      <c r="K1713" t="s">
        <v>20</v>
      </c>
      <c r="L1713" t="s">
        <v>26</v>
      </c>
    </row>
    <row r="1714" spans="2:12" ht="15.75" customHeight="1">
      <c r="D1714" t="s">
        <v>98</v>
      </c>
      <c r="E1714">
        <v>2740</v>
      </c>
      <c r="I1714" t="s">
        <v>56</v>
      </c>
    </row>
    <row r="1715" spans="2:12" ht="15.75" customHeight="1">
      <c r="B1715" t="s">
        <v>99</v>
      </c>
      <c r="C1715" s="3" t="s">
        <v>100</v>
      </c>
      <c r="D1715" s="1" t="s">
        <v>98</v>
      </c>
      <c r="E1715">
        <v>2750</v>
      </c>
      <c r="F1715">
        <v>1</v>
      </c>
      <c r="G1715" s="32">
        <v>1</v>
      </c>
      <c r="H1715">
        <v>1</v>
      </c>
      <c r="J1715" t="s">
        <v>19</v>
      </c>
      <c r="K1715" t="s">
        <v>20</v>
      </c>
      <c r="L1715" t="s">
        <v>26</v>
      </c>
    </row>
    <row r="1716" spans="2:12" ht="15.75" customHeight="1">
      <c r="D1716" t="s">
        <v>98</v>
      </c>
      <c r="E1716">
        <v>2760</v>
      </c>
      <c r="I1716" t="s">
        <v>56</v>
      </c>
    </row>
    <row r="1717" spans="2:12" ht="15.75" customHeight="1">
      <c r="D1717" t="s">
        <v>98</v>
      </c>
      <c r="E1717">
        <v>2770</v>
      </c>
      <c r="I1717" t="s">
        <v>56</v>
      </c>
    </row>
    <row r="1718" spans="2:12" ht="15.75" customHeight="1">
      <c r="D1718" t="s">
        <v>98</v>
      </c>
      <c r="E1718">
        <v>2780</v>
      </c>
      <c r="I1718" t="s">
        <v>56</v>
      </c>
    </row>
    <row r="1719" spans="2:12" ht="15.75" customHeight="1">
      <c r="D1719" t="s">
        <v>98</v>
      </c>
      <c r="E1719">
        <v>2790</v>
      </c>
      <c r="I1719" t="s">
        <v>56</v>
      </c>
    </row>
    <row r="1720" spans="2:12" ht="15.75" customHeight="1">
      <c r="D1720" t="s">
        <v>98</v>
      </c>
      <c r="E1720">
        <v>2800</v>
      </c>
      <c r="I1720" t="s">
        <v>56</v>
      </c>
    </row>
    <row r="1721" spans="2:12" ht="15.75" customHeight="1">
      <c r="B1721" t="s">
        <v>99</v>
      </c>
      <c r="C1721" s="3" t="s">
        <v>100</v>
      </c>
      <c r="D1721" s="1" t="s">
        <v>98</v>
      </c>
      <c r="E1721">
        <v>2810</v>
      </c>
      <c r="F1721">
        <v>1</v>
      </c>
      <c r="G1721" s="32">
        <v>1</v>
      </c>
      <c r="H1721">
        <v>1</v>
      </c>
      <c r="J1721" t="s">
        <v>19</v>
      </c>
      <c r="K1721" t="s">
        <v>20</v>
      </c>
      <c r="L1721" t="s">
        <v>26</v>
      </c>
    </row>
    <row r="1722" spans="2:12" ht="15.75" customHeight="1">
      <c r="D1722" t="s">
        <v>98</v>
      </c>
      <c r="E1722">
        <v>2820</v>
      </c>
      <c r="F1722">
        <v>1</v>
      </c>
      <c r="H1722">
        <v>1</v>
      </c>
      <c r="J1722" t="s">
        <v>19</v>
      </c>
      <c r="K1722" t="s">
        <v>20</v>
      </c>
      <c r="L1722" t="s">
        <v>26</v>
      </c>
    </row>
    <row r="1723" spans="2:12" ht="15.75" customHeight="1">
      <c r="D1723" t="s">
        <v>98</v>
      </c>
      <c r="E1723">
        <v>2820</v>
      </c>
      <c r="F1723">
        <v>2</v>
      </c>
      <c r="H1723">
        <v>2</v>
      </c>
      <c r="J1723" t="s">
        <v>42</v>
      </c>
      <c r="K1723" t="s">
        <v>20</v>
      </c>
      <c r="L1723" t="s">
        <v>26</v>
      </c>
    </row>
    <row r="1724" spans="2:12" ht="15.75" customHeight="1">
      <c r="D1724" t="s">
        <v>98</v>
      </c>
      <c r="E1724">
        <v>2820</v>
      </c>
      <c r="F1724">
        <v>3</v>
      </c>
      <c r="H1724">
        <v>2</v>
      </c>
      <c r="J1724" t="s">
        <v>105</v>
      </c>
      <c r="K1724" t="s">
        <v>105</v>
      </c>
      <c r="L1724" t="s">
        <v>28</v>
      </c>
    </row>
    <row r="1725" spans="2:12" ht="15.75" customHeight="1">
      <c r="B1725" t="s">
        <v>99</v>
      </c>
      <c r="C1725" s="3" t="s">
        <v>100</v>
      </c>
      <c r="D1725" s="1" t="s">
        <v>98</v>
      </c>
      <c r="E1725">
        <v>2830</v>
      </c>
      <c r="F1725">
        <v>1</v>
      </c>
      <c r="G1725" s="32">
        <v>1</v>
      </c>
      <c r="H1725">
        <v>1</v>
      </c>
      <c r="J1725" t="s">
        <v>19</v>
      </c>
      <c r="K1725" t="s">
        <v>20</v>
      </c>
      <c r="L1725" t="s">
        <v>26</v>
      </c>
    </row>
    <row r="1726" spans="2:12" ht="15.75" customHeight="1">
      <c r="B1726" t="s">
        <v>99</v>
      </c>
      <c r="C1726" s="3" t="s">
        <v>100</v>
      </c>
      <c r="D1726" s="1" t="s">
        <v>98</v>
      </c>
      <c r="E1726">
        <v>2830</v>
      </c>
      <c r="F1726">
        <v>2</v>
      </c>
      <c r="G1726" s="32">
        <v>2</v>
      </c>
      <c r="H1726">
        <v>1</v>
      </c>
      <c r="J1726" t="s">
        <v>42</v>
      </c>
      <c r="K1726" t="s">
        <v>33</v>
      </c>
      <c r="L1726" t="s">
        <v>26</v>
      </c>
    </row>
    <row r="1727" spans="2:12" ht="15.75" customHeight="1">
      <c r="B1727" t="s">
        <v>99</v>
      </c>
      <c r="C1727" s="3" t="s">
        <v>100</v>
      </c>
      <c r="D1727" s="1" t="s">
        <v>98</v>
      </c>
      <c r="E1727">
        <v>2830</v>
      </c>
      <c r="F1727">
        <v>3</v>
      </c>
      <c r="G1727" s="32">
        <v>0</v>
      </c>
      <c r="H1727">
        <v>0</v>
      </c>
      <c r="J1727" t="s">
        <v>97</v>
      </c>
      <c r="L1727" t="s">
        <v>28</v>
      </c>
    </row>
    <row r="1728" spans="2:12" ht="15.75" customHeight="1">
      <c r="D1728" t="s">
        <v>98</v>
      </c>
      <c r="E1728">
        <v>2840</v>
      </c>
      <c r="F1728">
        <v>1</v>
      </c>
      <c r="H1728">
        <v>2</v>
      </c>
      <c r="J1728" t="s">
        <v>19</v>
      </c>
      <c r="K1728" t="s">
        <v>20</v>
      </c>
      <c r="L1728" t="s">
        <v>26</v>
      </c>
    </row>
    <row r="1729" spans="2:12" ht="15.75" customHeight="1">
      <c r="D1729" t="s">
        <v>98</v>
      </c>
      <c r="E1729">
        <v>2840</v>
      </c>
      <c r="F1729">
        <v>2</v>
      </c>
      <c r="H1729">
        <v>2</v>
      </c>
      <c r="J1729" t="s">
        <v>105</v>
      </c>
      <c r="K1729" t="s">
        <v>105</v>
      </c>
      <c r="L1729" t="s">
        <v>28</v>
      </c>
    </row>
    <row r="1730" spans="2:12" ht="15.75" customHeight="1">
      <c r="B1730" t="s">
        <v>99</v>
      </c>
      <c r="C1730" s="3" t="s">
        <v>100</v>
      </c>
      <c r="D1730" s="1" t="s">
        <v>98</v>
      </c>
      <c r="E1730">
        <v>2850</v>
      </c>
      <c r="F1730">
        <v>1</v>
      </c>
      <c r="G1730" s="32">
        <v>1</v>
      </c>
      <c r="H1730">
        <v>1</v>
      </c>
      <c r="J1730" t="s">
        <v>19</v>
      </c>
      <c r="K1730" t="s">
        <v>20</v>
      </c>
      <c r="L1730" t="s">
        <v>26</v>
      </c>
    </row>
    <row r="1731" spans="2:12" ht="15.75" customHeight="1">
      <c r="B1731" t="s">
        <v>99</v>
      </c>
      <c r="C1731" s="3" t="s">
        <v>100</v>
      </c>
      <c r="D1731" s="1" t="s">
        <v>98</v>
      </c>
      <c r="E1731">
        <v>2850</v>
      </c>
      <c r="F1731">
        <v>2</v>
      </c>
      <c r="G1731" s="32">
        <v>1</v>
      </c>
      <c r="H1731">
        <v>2</v>
      </c>
      <c r="J1731" t="s">
        <v>42</v>
      </c>
      <c r="K1731" t="s">
        <v>20</v>
      </c>
      <c r="L1731" t="s">
        <v>26</v>
      </c>
    </row>
    <row r="1732" spans="2:12" ht="15.75" customHeight="1">
      <c r="B1732" t="s">
        <v>99</v>
      </c>
      <c r="C1732" s="3" t="s">
        <v>100</v>
      </c>
      <c r="D1732" s="1" t="s">
        <v>98</v>
      </c>
      <c r="E1732">
        <v>2850</v>
      </c>
      <c r="F1732">
        <v>3</v>
      </c>
      <c r="G1732" s="32">
        <v>0</v>
      </c>
      <c r="H1732">
        <v>0</v>
      </c>
      <c r="J1732" t="s">
        <v>97</v>
      </c>
      <c r="L1732" t="s">
        <v>28</v>
      </c>
    </row>
    <row r="1733" spans="2:12" ht="15.75" customHeight="1">
      <c r="D1733" t="s">
        <v>98</v>
      </c>
      <c r="E1733">
        <v>2860</v>
      </c>
      <c r="F1733">
        <v>1</v>
      </c>
      <c r="H1733">
        <v>1</v>
      </c>
      <c r="J1733" t="s">
        <v>19</v>
      </c>
      <c r="K1733" t="s">
        <v>20</v>
      </c>
      <c r="L1733" t="s">
        <v>26</v>
      </c>
    </row>
    <row r="1734" spans="2:12" ht="15.75" customHeight="1">
      <c r="B1734" t="s">
        <v>99</v>
      </c>
      <c r="C1734" s="3" t="s">
        <v>100</v>
      </c>
      <c r="D1734" s="1" t="s">
        <v>107</v>
      </c>
      <c r="E1734" s="19">
        <v>0</v>
      </c>
      <c r="F1734">
        <v>0</v>
      </c>
      <c r="G1734"/>
      <c r="H1734">
        <v>0</v>
      </c>
    </row>
    <row r="1735" spans="2:12" ht="15.75" customHeight="1">
      <c r="D1735" t="s">
        <v>107</v>
      </c>
      <c r="E1735">
        <v>0</v>
      </c>
      <c r="I1735" t="s">
        <v>56</v>
      </c>
    </row>
    <row r="1736" spans="2:12" ht="15.75" customHeight="1">
      <c r="B1736" t="s">
        <v>99</v>
      </c>
      <c r="C1736" s="3" t="s">
        <v>100</v>
      </c>
      <c r="D1736" s="1" t="s">
        <v>107</v>
      </c>
      <c r="E1736" s="19">
        <v>10</v>
      </c>
      <c r="F1736">
        <v>1</v>
      </c>
      <c r="G1736" s="32">
        <v>2</v>
      </c>
      <c r="H1736">
        <v>1</v>
      </c>
      <c r="J1736" t="s">
        <v>19</v>
      </c>
      <c r="K1736" t="s">
        <v>20</v>
      </c>
      <c r="L1736" t="s">
        <v>58</v>
      </c>
    </row>
    <row r="1737" spans="2:12" ht="15.75" customHeight="1">
      <c r="B1737" t="s">
        <v>99</v>
      </c>
      <c r="C1737" s="3" t="s">
        <v>100</v>
      </c>
      <c r="D1737" s="1" t="s">
        <v>107</v>
      </c>
      <c r="E1737" s="19">
        <v>10</v>
      </c>
      <c r="F1737">
        <v>2</v>
      </c>
      <c r="G1737" s="32">
        <v>1</v>
      </c>
      <c r="H1737">
        <v>2</v>
      </c>
      <c r="J1737" t="s">
        <v>35</v>
      </c>
      <c r="K1737" t="s">
        <v>36</v>
      </c>
      <c r="L1737" t="s">
        <v>39</v>
      </c>
    </row>
    <row r="1738" spans="2:12" ht="15.75" customHeight="1">
      <c r="B1738" t="s">
        <v>99</v>
      </c>
      <c r="C1738" s="3" t="s">
        <v>100</v>
      </c>
      <c r="D1738" s="1" t="s">
        <v>107</v>
      </c>
      <c r="E1738" s="19">
        <v>20</v>
      </c>
      <c r="F1738">
        <v>1</v>
      </c>
      <c r="G1738" s="32">
        <v>1</v>
      </c>
      <c r="H1738">
        <v>2</v>
      </c>
      <c r="J1738" t="s">
        <v>19</v>
      </c>
      <c r="K1738" t="s">
        <v>33</v>
      </c>
      <c r="L1738" t="s">
        <v>58</v>
      </c>
    </row>
    <row r="1739" spans="2:12" ht="15.75" customHeight="1">
      <c r="B1739" t="s">
        <v>99</v>
      </c>
      <c r="C1739" s="3" t="s">
        <v>100</v>
      </c>
      <c r="D1739" s="1" t="s">
        <v>107</v>
      </c>
      <c r="E1739" s="19">
        <v>20</v>
      </c>
      <c r="F1739">
        <v>2</v>
      </c>
      <c r="G1739" s="32">
        <v>0</v>
      </c>
      <c r="H1739">
        <v>0</v>
      </c>
      <c r="J1739" t="s">
        <v>47</v>
      </c>
      <c r="L1739" t="s">
        <v>39</v>
      </c>
    </row>
    <row r="1740" spans="2:12" ht="15.75" customHeight="1">
      <c r="D1740" t="s">
        <v>107</v>
      </c>
      <c r="E1740">
        <v>30</v>
      </c>
      <c r="I1740" t="s">
        <v>56</v>
      </c>
    </row>
    <row r="1741" spans="2:12" ht="15.75" customHeight="1">
      <c r="D1741" t="s">
        <v>107</v>
      </c>
      <c r="E1741">
        <v>40</v>
      </c>
      <c r="I1741" t="s">
        <v>56</v>
      </c>
    </row>
    <row r="1742" spans="2:12" ht="15.75" customHeight="1">
      <c r="D1742" t="s">
        <v>107</v>
      </c>
      <c r="E1742">
        <v>50</v>
      </c>
      <c r="I1742" t="s">
        <v>56</v>
      </c>
    </row>
    <row r="1743" spans="2:12" ht="15.75" customHeight="1">
      <c r="D1743" t="s">
        <v>107</v>
      </c>
      <c r="E1743">
        <v>60</v>
      </c>
      <c r="I1743" t="s">
        <v>56</v>
      </c>
    </row>
    <row r="1744" spans="2:12" ht="15.75" customHeight="1">
      <c r="B1744" t="s">
        <v>99</v>
      </c>
      <c r="C1744" s="3" t="s">
        <v>100</v>
      </c>
      <c r="D1744" s="1" t="s">
        <v>107</v>
      </c>
      <c r="E1744" s="19">
        <v>70</v>
      </c>
      <c r="I1744" t="s">
        <v>56</v>
      </c>
    </row>
    <row r="1745" spans="2:12" ht="15.75" customHeight="1">
      <c r="D1745" t="s">
        <v>107</v>
      </c>
      <c r="E1745">
        <v>80</v>
      </c>
      <c r="I1745" t="s">
        <v>56</v>
      </c>
    </row>
    <row r="1746" spans="2:12" ht="15.75" customHeight="1">
      <c r="B1746" t="s">
        <v>99</v>
      </c>
      <c r="C1746" s="3" t="s">
        <v>100</v>
      </c>
      <c r="D1746" s="1" t="s">
        <v>107</v>
      </c>
      <c r="E1746" s="19">
        <v>90</v>
      </c>
      <c r="F1746">
        <v>1</v>
      </c>
      <c r="G1746" s="32">
        <v>3</v>
      </c>
      <c r="H1746">
        <v>0</v>
      </c>
      <c r="J1746" t="s">
        <v>47</v>
      </c>
      <c r="L1746" t="s">
        <v>39</v>
      </c>
    </row>
    <row r="1747" spans="2:12" ht="15.75" customHeight="1">
      <c r="B1747" t="s">
        <v>99</v>
      </c>
      <c r="C1747" s="3" t="s">
        <v>100</v>
      </c>
      <c r="D1747" s="1" t="s">
        <v>107</v>
      </c>
      <c r="E1747" s="19">
        <v>100</v>
      </c>
      <c r="F1747">
        <v>1</v>
      </c>
      <c r="G1747" s="32">
        <v>1</v>
      </c>
      <c r="H1747">
        <v>2</v>
      </c>
      <c r="J1747" t="s">
        <v>47</v>
      </c>
      <c r="K1747" t="s">
        <v>47</v>
      </c>
      <c r="L1747" t="s">
        <v>39</v>
      </c>
    </row>
    <row r="1748" spans="2:12" ht="15.75" customHeight="1">
      <c r="B1748" t="s">
        <v>99</v>
      </c>
      <c r="C1748" s="3" t="s">
        <v>100</v>
      </c>
      <c r="D1748" s="1" t="s">
        <v>107</v>
      </c>
      <c r="E1748" s="19">
        <v>110</v>
      </c>
      <c r="F1748">
        <v>1</v>
      </c>
      <c r="G1748" s="32">
        <v>3</v>
      </c>
      <c r="H1748">
        <v>0</v>
      </c>
      <c r="J1748" t="s">
        <v>47</v>
      </c>
      <c r="L1748" t="s">
        <v>39</v>
      </c>
    </row>
    <row r="1749" spans="2:12" ht="15.75" customHeight="1">
      <c r="D1749" t="s">
        <v>107</v>
      </c>
      <c r="E1749">
        <v>120</v>
      </c>
      <c r="I1749" t="s">
        <v>56</v>
      </c>
    </row>
    <row r="1750" spans="2:12" ht="15.75" customHeight="1">
      <c r="D1750" t="s">
        <v>107</v>
      </c>
      <c r="E1750">
        <v>130</v>
      </c>
      <c r="I1750" t="s">
        <v>56</v>
      </c>
    </row>
    <row r="1751" spans="2:12" ht="15.75" customHeight="1">
      <c r="B1751" t="s">
        <v>99</v>
      </c>
      <c r="C1751" s="3" t="s">
        <v>100</v>
      </c>
      <c r="D1751" s="1" t="s">
        <v>107</v>
      </c>
      <c r="E1751" s="19">
        <v>140</v>
      </c>
      <c r="F1751">
        <v>1</v>
      </c>
      <c r="G1751" s="32">
        <v>1</v>
      </c>
      <c r="H1751">
        <v>2</v>
      </c>
      <c r="J1751" t="s">
        <v>19</v>
      </c>
      <c r="K1751" t="s">
        <v>20</v>
      </c>
      <c r="L1751" t="s">
        <v>58</v>
      </c>
    </row>
    <row r="1752" spans="2:12" ht="15.75" customHeight="1">
      <c r="B1752" t="s">
        <v>99</v>
      </c>
      <c r="C1752" s="3" t="s">
        <v>100</v>
      </c>
      <c r="D1752" s="1" t="s">
        <v>107</v>
      </c>
      <c r="E1752" s="19">
        <v>140</v>
      </c>
      <c r="F1752">
        <v>2</v>
      </c>
      <c r="G1752" s="32">
        <v>2</v>
      </c>
      <c r="H1752">
        <v>2</v>
      </c>
      <c r="J1752" t="s">
        <v>47</v>
      </c>
      <c r="K1752" t="s">
        <v>33</v>
      </c>
      <c r="L1752" t="s">
        <v>39</v>
      </c>
    </row>
    <row r="1753" spans="2:12" ht="15.75" customHeight="1">
      <c r="D1753" t="s">
        <v>107</v>
      </c>
      <c r="E1753">
        <v>150</v>
      </c>
      <c r="I1753" t="s">
        <v>56</v>
      </c>
    </row>
    <row r="1754" spans="2:12" ht="15.75" customHeight="1">
      <c r="B1754" t="s">
        <v>99</v>
      </c>
      <c r="C1754" s="3" t="s">
        <v>100</v>
      </c>
      <c r="D1754" s="1" t="s">
        <v>107</v>
      </c>
      <c r="E1754" s="19">
        <v>160</v>
      </c>
      <c r="F1754">
        <v>1</v>
      </c>
      <c r="G1754" s="32">
        <v>1</v>
      </c>
      <c r="H1754">
        <v>1</v>
      </c>
      <c r="J1754" t="s">
        <v>19</v>
      </c>
      <c r="K1754" t="s">
        <v>20</v>
      </c>
      <c r="L1754" t="s">
        <v>58</v>
      </c>
    </row>
    <row r="1755" spans="2:12" ht="15.75" customHeight="1">
      <c r="B1755" t="s">
        <v>99</v>
      </c>
      <c r="C1755" s="3" t="s">
        <v>100</v>
      </c>
      <c r="D1755" s="1" t="s">
        <v>107</v>
      </c>
      <c r="E1755" s="19">
        <v>160</v>
      </c>
      <c r="F1755">
        <v>2</v>
      </c>
      <c r="G1755" s="32">
        <v>1</v>
      </c>
      <c r="H1755">
        <v>2</v>
      </c>
      <c r="J1755" t="s">
        <v>35</v>
      </c>
      <c r="K1755" t="s">
        <v>36</v>
      </c>
      <c r="L1755" t="s">
        <v>39</v>
      </c>
    </row>
    <row r="1756" spans="2:12" ht="15.75" customHeight="1">
      <c r="D1756" t="s">
        <v>107</v>
      </c>
      <c r="E1756">
        <v>170</v>
      </c>
      <c r="I1756" t="s">
        <v>56</v>
      </c>
    </row>
    <row r="1757" spans="2:12" ht="15.75" customHeight="1">
      <c r="D1757" t="s">
        <v>107</v>
      </c>
      <c r="E1757">
        <v>180</v>
      </c>
      <c r="I1757" t="s">
        <v>56</v>
      </c>
    </row>
    <row r="1758" spans="2:12" ht="15.75" customHeight="1">
      <c r="D1758" t="s">
        <v>107</v>
      </c>
      <c r="E1758">
        <v>190</v>
      </c>
      <c r="H1758">
        <v>2</v>
      </c>
    </row>
    <row r="1759" spans="2:12" ht="15.75" customHeight="1">
      <c r="D1759" t="s">
        <v>107</v>
      </c>
      <c r="E1759">
        <v>200</v>
      </c>
      <c r="H1759">
        <v>2</v>
      </c>
    </row>
    <row r="1760" spans="2:12" ht="15.75" customHeight="1">
      <c r="B1760" t="s">
        <v>99</v>
      </c>
      <c r="C1760" s="3" t="s">
        <v>100</v>
      </c>
      <c r="D1760" s="1" t="s">
        <v>107</v>
      </c>
      <c r="E1760" s="19">
        <v>210</v>
      </c>
      <c r="F1760">
        <v>1</v>
      </c>
      <c r="G1760" s="32">
        <v>1</v>
      </c>
      <c r="H1760">
        <v>1</v>
      </c>
      <c r="J1760" t="s">
        <v>19</v>
      </c>
      <c r="K1760" t="s">
        <v>20</v>
      </c>
      <c r="L1760" t="s">
        <v>58</v>
      </c>
    </row>
    <row r="1761" spans="2:12" ht="15.75" customHeight="1">
      <c r="B1761" t="s">
        <v>99</v>
      </c>
      <c r="C1761" s="3" t="s">
        <v>100</v>
      </c>
      <c r="D1761" s="1" t="s">
        <v>107</v>
      </c>
      <c r="E1761" s="19">
        <v>210</v>
      </c>
      <c r="F1761">
        <v>2</v>
      </c>
      <c r="G1761" s="32">
        <v>1</v>
      </c>
      <c r="H1761">
        <v>1</v>
      </c>
      <c r="J1761" t="s">
        <v>42</v>
      </c>
      <c r="K1761" t="s">
        <v>20</v>
      </c>
      <c r="L1761" t="s">
        <v>58</v>
      </c>
    </row>
    <row r="1762" spans="2:12" ht="15.75" customHeight="1">
      <c r="D1762" t="s">
        <v>107</v>
      </c>
      <c r="E1762">
        <v>220</v>
      </c>
      <c r="I1762" t="s">
        <v>56</v>
      </c>
    </row>
    <row r="1763" spans="2:12" ht="15.75" customHeight="1">
      <c r="B1763" t="s">
        <v>99</v>
      </c>
      <c r="C1763" s="3" t="s">
        <v>100</v>
      </c>
      <c r="D1763" s="1" t="s">
        <v>107</v>
      </c>
      <c r="E1763" s="19">
        <v>230</v>
      </c>
      <c r="I1763" t="s">
        <v>56</v>
      </c>
    </row>
    <row r="1764" spans="2:12" ht="15.75" customHeight="1">
      <c r="B1764" t="s">
        <v>99</v>
      </c>
      <c r="C1764" s="3" t="s">
        <v>100</v>
      </c>
      <c r="D1764" s="1" t="s">
        <v>107</v>
      </c>
      <c r="E1764" s="19">
        <v>240</v>
      </c>
      <c r="F1764">
        <v>1</v>
      </c>
      <c r="G1764" s="32">
        <v>1</v>
      </c>
      <c r="H1764">
        <v>2</v>
      </c>
      <c r="J1764" t="s">
        <v>35</v>
      </c>
      <c r="K1764" t="s">
        <v>36</v>
      </c>
      <c r="L1764" t="s">
        <v>39</v>
      </c>
    </row>
    <row r="1765" spans="2:12" ht="15.75" customHeight="1">
      <c r="D1765" t="s">
        <v>107</v>
      </c>
      <c r="E1765">
        <v>250</v>
      </c>
      <c r="H1765">
        <v>2</v>
      </c>
    </row>
    <row r="1766" spans="2:12" ht="15.75" customHeight="1">
      <c r="D1766" t="s">
        <v>107</v>
      </c>
      <c r="E1766">
        <v>260</v>
      </c>
      <c r="I1766" t="s">
        <v>56</v>
      </c>
    </row>
    <row r="1767" spans="2:12" ht="15.75" customHeight="1">
      <c r="D1767" t="s">
        <v>107</v>
      </c>
      <c r="E1767">
        <v>270</v>
      </c>
      <c r="I1767" t="s">
        <v>56</v>
      </c>
    </row>
    <row r="1768" spans="2:12" ht="15.75" customHeight="1">
      <c r="B1768" t="s">
        <v>99</v>
      </c>
      <c r="C1768" s="3" t="s">
        <v>100</v>
      </c>
      <c r="D1768" s="1" t="s">
        <v>107</v>
      </c>
      <c r="E1768" s="19">
        <v>280</v>
      </c>
      <c r="F1768">
        <v>1</v>
      </c>
      <c r="G1768" s="32">
        <v>1</v>
      </c>
      <c r="H1768">
        <v>1</v>
      </c>
      <c r="J1768" t="s">
        <v>19</v>
      </c>
      <c r="K1768" t="s">
        <v>20</v>
      </c>
      <c r="L1768" t="s">
        <v>58</v>
      </c>
    </row>
    <row r="1769" spans="2:12" ht="15.75" customHeight="1">
      <c r="B1769" t="s">
        <v>99</v>
      </c>
      <c r="C1769" s="3" t="s">
        <v>100</v>
      </c>
      <c r="D1769" s="1" t="s">
        <v>107</v>
      </c>
      <c r="E1769" s="19">
        <v>280</v>
      </c>
      <c r="F1769">
        <v>2</v>
      </c>
      <c r="G1769" s="32">
        <v>2</v>
      </c>
      <c r="H1769">
        <v>1</v>
      </c>
      <c r="J1769" t="s">
        <v>42</v>
      </c>
      <c r="K1769" t="s">
        <v>20</v>
      </c>
      <c r="L1769" t="s">
        <v>58</v>
      </c>
    </row>
    <row r="1770" spans="2:12" ht="15.75" customHeight="1">
      <c r="D1770" t="s">
        <v>107</v>
      </c>
      <c r="E1770">
        <v>290</v>
      </c>
      <c r="I1770" t="s">
        <v>56</v>
      </c>
    </row>
    <row r="1771" spans="2:12" ht="15.75" customHeight="1">
      <c r="D1771" t="s">
        <v>107</v>
      </c>
      <c r="E1771">
        <v>300</v>
      </c>
      <c r="I1771" t="s">
        <v>56</v>
      </c>
    </row>
    <row r="1772" spans="2:12" ht="15.75" customHeight="1">
      <c r="D1772" t="s">
        <v>107</v>
      </c>
      <c r="E1772">
        <v>310</v>
      </c>
      <c r="I1772" t="s">
        <v>56</v>
      </c>
    </row>
    <row r="1773" spans="2:12" ht="15.75" customHeight="1">
      <c r="D1773" t="s">
        <v>107</v>
      </c>
      <c r="E1773">
        <v>320</v>
      </c>
      <c r="I1773" t="s">
        <v>56</v>
      </c>
    </row>
    <row r="1774" spans="2:12" ht="15.75" customHeight="1">
      <c r="D1774" t="s">
        <v>107</v>
      </c>
      <c r="E1774">
        <v>330</v>
      </c>
      <c r="I1774" t="s">
        <v>56</v>
      </c>
    </row>
    <row r="1775" spans="2:12" ht="15.75" customHeight="1">
      <c r="D1775" t="s">
        <v>107</v>
      </c>
      <c r="E1775">
        <v>340</v>
      </c>
      <c r="I1775" t="s">
        <v>56</v>
      </c>
    </row>
    <row r="1776" spans="2:12" ht="15.75" customHeight="1">
      <c r="B1776" t="s">
        <v>99</v>
      </c>
      <c r="C1776" s="3" t="s">
        <v>100</v>
      </c>
      <c r="D1776" s="1" t="s">
        <v>107</v>
      </c>
      <c r="E1776" s="19">
        <v>350</v>
      </c>
      <c r="F1776">
        <v>1</v>
      </c>
      <c r="G1776" s="32">
        <v>3</v>
      </c>
      <c r="H1776">
        <v>0</v>
      </c>
      <c r="J1776" t="s">
        <v>46</v>
      </c>
    </row>
    <row r="1777" spans="2:12" ht="15.75" customHeight="1">
      <c r="B1777" t="s">
        <v>99</v>
      </c>
      <c r="C1777" s="3" t="s">
        <v>100</v>
      </c>
      <c r="D1777" s="1" t="s">
        <v>107</v>
      </c>
      <c r="E1777" s="19">
        <v>360</v>
      </c>
      <c r="F1777">
        <v>1</v>
      </c>
      <c r="G1777" s="32">
        <v>1</v>
      </c>
      <c r="H1777">
        <v>1</v>
      </c>
      <c r="J1777" t="s">
        <v>52</v>
      </c>
      <c r="K1777" t="s">
        <v>108</v>
      </c>
      <c r="L1777" t="s">
        <v>39</v>
      </c>
    </row>
    <row r="1778" spans="2:12" ht="15.75" customHeight="1">
      <c r="D1778" t="s">
        <v>107</v>
      </c>
      <c r="E1778">
        <v>370</v>
      </c>
      <c r="I1778" t="s">
        <v>56</v>
      </c>
    </row>
    <row r="1779" spans="2:12" ht="15.75" customHeight="1">
      <c r="D1779" t="s">
        <v>107</v>
      </c>
      <c r="E1779">
        <v>380</v>
      </c>
      <c r="I1779" t="s">
        <v>56</v>
      </c>
    </row>
    <row r="1780" spans="2:12" ht="15.75" customHeight="1">
      <c r="D1780" t="s">
        <v>107</v>
      </c>
      <c r="E1780">
        <v>390</v>
      </c>
      <c r="I1780" t="s">
        <v>56</v>
      </c>
    </row>
    <row r="1781" spans="2:12" ht="15.75" customHeight="1">
      <c r="D1781" t="s">
        <v>107</v>
      </c>
      <c r="E1781">
        <v>400</v>
      </c>
      <c r="I1781" t="s">
        <v>56</v>
      </c>
    </row>
    <row r="1782" spans="2:12" ht="15.75" customHeight="1">
      <c r="B1782" t="s">
        <v>99</v>
      </c>
      <c r="C1782" s="3" t="s">
        <v>100</v>
      </c>
      <c r="D1782" s="1" t="s">
        <v>107</v>
      </c>
      <c r="E1782" s="19">
        <v>410</v>
      </c>
      <c r="F1782">
        <v>1</v>
      </c>
      <c r="G1782" s="32">
        <v>3</v>
      </c>
      <c r="H1782">
        <v>0</v>
      </c>
      <c r="J1782" t="s">
        <v>46</v>
      </c>
    </row>
    <row r="1783" spans="2:12" ht="15.75" customHeight="1">
      <c r="D1783" t="s">
        <v>107</v>
      </c>
      <c r="E1783">
        <v>420</v>
      </c>
      <c r="I1783" t="s">
        <v>56</v>
      </c>
    </row>
    <row r="1784" spans="2:12" ht="15.75" customHeight="1">
      <c r="B1784" t="s">
        <v>99</v>
      </c>
      <c r="C1784" s="3" t="s">
        <v>100</v>
      </c>
      <c r="D1784" s="1" t="s">
        <v>107</v>
      </c>
      <c r="E1784" s="19">
        <v>430</v>
      </c>
      <c r="F1784">
        <v>1</v>
      </c>
      <c r="G1784" s="32">
        <v>1</v>
      </c>
      <c r="H1784">
        <v>1</v>
      </c>
      <c r="J1784" t="s">
        <v>52</v>
      </c>
      <c r="K1784" t="s">
        <v>108</v>
      </c>
      <c r="L1784" t="s">
        <v>39</v>
      </c>
    </row>
    <row r="1785" spans="2:12" ht="15.75" customHeight="1">
      <c r="D1785" s="34" t="s">
        <v>109</v>
      </c>
      <c r="E1785">
        <v>0</v>
      </c>
      <c r="F1785">
        <v>1</v>
      </c>
      <c r="H1785">
        <v>2</v>
      </c>
      <c r="J1785" t="s">
        <v>53</v>
      </c>
      <c r="K1785" t="s">
        <v>34</v>
      </c>
      <c r="L1785" t="s">
        <v>28</v>
      </c>
    </row>
    <row r="1786" spans="2:12" ht="15.75" customHeight="1">
      <c r="D1786" s="34" t="s">
        <v>109</v>
      </c>
      <c r="E1786">
        <v>10</v>
      </c>
      <c r="F1786">
        <v>1</v>
      </c>
      <c r="H1786">
        <v>1</v>
      </c>
      <c r="J1786" t="s">
        <v>19</v>
      </c>
      <c r="K1786" t="s">
        <v>20</v>
      </c>
      <c r="L1786" t="s">
        <v>26</v>
      </c>
    </row>
    <row r="1787" spans="2:12" ht="15.75" customHeight="1">
      <c r="D1787" s="34" t="s">
        <v>109</v>
      </c>
      <c r="E1787">
        <v>10</v>
      </c>
      <c r="F1787">
        <v>2</v>
      </c>
      <c r="H1787">
        <v>2</v>
      </c>
      <c r="J1787" t="s">
        <v>53</v>
      </c>
      <c r="K1787" t="s">
        <v>31</v>
      </c>
      <c r="L1787" t="s">
        <v>28</v>
      </c>
    </row>
    <row r="1788" spans="2:12" ht="15.75" customHeight="1">
      <c r="D1788" s="34" t="s">
        <v>109</v>
      </c>
      <c r="E1788">
        <v>20</v>
      </c>
      <c r="F1788">
        <v>1</v>
      </c>
      <c r="H1788">
        <v>0</v>
      </c>
      <c r="J1788" t="s">
        <v>53</v>
      </c>
      <c r="L1788" t="s">
        <v>28</v>
      </c>
    </row>
    <row r="1789" spans="2:12" ht="15.75" customHeight="1">
      <c r="D1789" s="34" t="s">
        <v>109</v>
      </c>
      <c r="E1789">
        <v>30</v>
      </c>
      <c r="F1789">
        <v>1</v>
      </c>
      <c r="H1789">
        <v>1</v>
      </c>
      <c r="J1789" t="s">
        <v>19</v>
      </c>
      <c r="K1789" t="s">
        <v>20</v>
      </c>
      <c r="L1789" t="s">
        <v>26</v>
      </c>
    </row>
    <row r="1790" spans="2:12" ht="15.75" customHeight="1">
      <c r="D1790" s="34" t="s">
        <v>109</v>
      </c>
      <c r="E1790">
        <v>30</v>
      </c>
      <c r="F1790">
        <v>2</v>
      </c>
      <c r="H1790">
        <v>1</v>
      </c>
      <c r="J1790" t="s">
        <v>53</v>
      </c>
      <c r="K1790" t="s">
        <v>31</v>
      </c>
      <c r="L1790" t="s">
        <v>28</v>
      </c>
    </row>
    <row r="1791" spans="2:12" ht="15.75" customHeight="1">
      <c r="D1791" s="34" t="s">
        <v>109</v>
      </c>
      <c r="E1791">
        <v>40</v>
      </c>
      <c r="F1791">
        <v>1</v>
      </c>
      <c r="H1791">
        <v>2</v>
      </c>
      <c r="J1791" t="s">
        <v>19</v>
      </c>
      <c r="K1791" t="s">
        <v>20</v>
      </c>
      <c r="L1791" t="s">
        <v>26</v>
      </c>
    </row>
    <row r="1792" spans="2:12" ht="15.75" customHeight="1">
      <c r="D1792" s="34" t="s">
        <v>109</v>
      </c>
      <c r="E1792">
        <v>40</v>
      </c>
      <c r="F1792">
        <v>2</v>
      </c>
      <c r="H1792">
        <v>0</v>
      </c>
      <c r="J1792" t="s">
        <v>53</v>
      </c>
      <c r="L1792" t="s">
        <v>28</v>
      </c>
    </row>
    <row r="1793" spans="2:12" ht="15.75" customHeight="1">
      <c r="D1793" s="34" t="s">
        <v>109</v>
      </c>
      <c r="E1793">
        <v>50</v>
      </c>
      <c r="F1793">
        <v>1</v>
      </c>
      <c r="H1793">
        <v>1</v>
      </c>
      <c r="J1793" t="s">
        <v>19</v>
      </c>
      <c r="K1793" t="s">
        <v>20</v>
      </c>
      <c r="L1793" t="s">
        <v>26</v>
      </c>
    </row>
    <row r="1794" spans="2:12" ht="15.75" customHeight="1">
      <c r="D1794" s="34" t="s">
        <v>109</v>
      </c>
      <c r="E1794">
        <v>50</v>
      </c>
      <c r="F1794">
        <v>2</v>
      </c>
      <c r="H1794">
        <v>0</v>
      </c>
      <c r="J1794" t="s">
        <v>57</v>
      </c>
      <c r="L1794" t="s">
        <v>28</v>
      </c>
    </row>
    <row r="1795" spans="2:12" ht="15.75" customHeight="1">
      <c r="D1795" s="34" t="s">
        <v>109</v>
      </c>
      <c r="E1795">
        <v>60</v>
      </c>
      <c r="F1795">
        <v>1</v>
      </c>
      <c r="H1795">
        <v>1</v>
      </c>
      <c r="J1795" t="s">
        <v>19</v>
      </c>
      <c r="K1795" t="s">
        <v>20</v>
      </c>
      <c r="L1795" t="s">
        <v>26</v>
      </c>
    </row>
    <row r="1796" spans="2:12" ht="15.75" customHeight="1">
      <c r="D1796" s="34" t="s">
        <v>109</v>
      </c>
      <c r="E1796">
        <v>60</v>
      </c>
      <c r="F1796">
        <v>2</v>
      </c>
      <c r="H1796">
        <v>2</v>
      </c>
      <c r="I1796" t="s">
        <v>110</v>
      </c>
      <c r="J1796" t="s">
        <v>103</v>
      </c>
      <c r="K1796" t="s">
        <v>27</v>
      </c>
      <c r="L1796" t="s">
        <v>28</v>
      </c>
    </row>
    <row r="1797" spans="2:12" ht="15.75" customHeight="1">
      <c r="D1797" s="34" t="s">
        <v>109</v>
      </c>
      <c r="E1797">
        <v>70</v>
      </c>
      <c r="F1797">
        <v>1</v>
      </c>
      <c r="H1797">
        <v>1</v>
      </c>
      <c r="J1797" t="s">
        <v>19</v>
      </c>
      <c r="K1797" t="s">
        <v>20</v>
      </c>
      <c r="L1797" t="s">
        <v>26</v>
      </c>
    </row>
    <row r="1798" spans="2:12" ht="15.75" customHeight="1">
      <c r="D1798" s="34" t="s">
        <v>109</v>
      </c>
      <c r="E1798">
        <v>70</v>
      </c>
      <c r="F1798">
        <v>2</v>
      </c>
      <c r="H1798">
        <v>2</v>
      </c>
      <c r="J1798" t="s">
        <v>103</v>
      </c>
      <c r="K1798" t="s">
        <v>27</v>
      </c>
      <c r="L1798" t="s">
        <v>28</v>
      </c>
    </row>
    <row r="1799" spans="2:12" ht="15.75" customHeight="1">
      <c r="D1799" s="34" t="s">
        <v>109</v>
      </c>
      <c r="E1799">
        <v>80</v>
      </c>
      <c r="F1799">
        <v>1</v>
      </c>
      <c r="H1799">
        <v>2</v>
      </c>
      <c r="J1799" t="s">
        <v>103</v>
      </c>
      <c r="K1799" t="s">
        <v>27</v>
      </c>
      <c r="L1799" t="s">
        <v>28</v>
      </c>
    </row>
    <row r="1800" spans="2:12" ht="15.75" customHeight="1">
      <c r="D1800" s="34" t="s">
        <v>109</v>
      </c>
      <c r="E1800">
        <v>90</v>
      </c>
      <c r="F1800">
        <v>1</v>
      </c>
      <c r="H1800">
        <v>2</v>
      </c>
      <c r="J1800" t="s">
        <v>103</v>
      </c>
      <c r="K1800" t="s">
        <v>27</v>
      </c>
      <c r="L1800" t="s">
        <v>28</v>
      </c>
    </row>
    <row r="1801" spans="2:12" ht="15.75" customHeight="1">
      <c r="D1801" s="34" t="s">
        <v>109</v>
      </c>
      <c r="E1801">
        <v>100</v>
      </c>
      <c r="F1801">
        <v>1</v>
      </c>
      <c r="H1801">
        <v>0</v>
      </c>
      <c r="J1801" t="s">
        <v>19</v>
      </c>
      <c r="L1801" t="s">
        <v>26</v>
      </c>
    </row>
    <row r="1802" spans="2:12" ht="15.75" customHeight="1">
      <c r="D1802" s="34" t="s">
        <v>109</v>
      </c>
      <c r="E1802">
        <v>100</v>
      </c>
      <c r="F1802">
        <v>2</v>
      </c>
      <c r="H1802">
        <v>0</v>
      </c>
      <c r="J1802" t="s">
        <v>103</v>
      </c>
      <c r="L1802" t="s">
        <v>28</v>
      </c>
    </row>
    <row r="1803" spans="2:12" ht="15.75" customHeight="1">
      <c r="D1803" s="34" t="s">
        <v>109</v>
      </c>
      <c r="E1803">
        <v>110</v>
      </c>
      <c r="F1803">
        <v>1</v>
      </c>
      <c r="H1803">
        <v>1</v>
      </c>
      <c r="J1803" t="s">
        <v>19</v>
      </c>
      <c r="K1803" t="s">
        <v>20</v>
      </c>
      <c r="L1803" t="s">
        <v>26</v>
      </c>
    </row>
    <row r="1804" spans="2:12" ht="15.75" customHeight="1">
      <c r="D1804" s="34" t="s">
        <v>109</v>
      </c>
      <c r="E1804">
        <v>110</v>
      </c>
      <c r="F1804">
        <v>2</v>
      </c>
      <c r="H1804">
        <v>2</v>
      </c>
      <c r="J1804" t="s">
        <v>103</v>
      </c>
      <c r="K1804" t="s">
        <v>27</v>
      </c>
      <c r="L1804" t="s">
        <v>28</v>
      </c>
    </row>
    <row r="1805" spans="2:12" ht="15.75" customHeight="1">
      <c r="D1805" s="34" t="s">
        <v>109</v>
      </c>
      <c r="E1805">
        <v>120</v>
      </c>
      <c r="F1805">
        <v>1</v>
      </c>
      <c r="H1805">
        <v>1</v>
      </c>
      <c r="J1805" t="s">
        <v>19</v>
      </c>
      <c r="K1805" t="s">
        <v>20</v>
      </c>
      <c r="L1805" t="s">
        <v>26</v>
      </c>
    </row>
    <row r="1806" spans="2:12" ht="15.75" customHeight="1">
      <c r="D1806" s="34" t="s">
        <v>109</v>
      </c>
      <c r="E1806">
        <v>120</v>
      </c>
      <c r="F1806">
        <v>2</v>
      </c>
      <c r="H1806">
        <v>2</v>
      </c>
      <c r="J1806" t="s">
        <v>103</v>
      </c>
      <c r="K1806" t="s">
        <v>27</v>
      </c>
      <c r="L1806" t="s">
        <v>28</v>
      </c>
    </row>
    <row r="1807" spans="2:12" ht="15.75" customHeight="1">
      <c r="B1807" t="s">
        <v>99</v>
      </c>
      <c r="C1807" s="3" t="s">
        <v>100</v>
      </c>
      <c r="D1807" s="1" t="s">
        <v>109</v>
      </c>
      <c r="E1807">
        <v>130</v>
      </c>
      <c r="F1807">
        <v>2</v>
      </c>
      <c r="G1807" s="32">
        <v>1</v>
      </c>
      <c r="H1807">
        <v>2</v>
      </c>
      <c r="J1807" t="s">
        <v>101</v>
      </c>
      <c r="K1807" t="s">
        <v>36</v>
      </c>
      <c r="L1807" t="s">
        <v>28</v>
      </c>
    </row>
    <row r="1808" spans="2:12" ht="15.75" customHeight="1">
      <c r="B1808" t="s">
        <v>99</v>
      </c>
      <c r="C1808" s="3" t="s">
        <v>100</v>
      </c>
      <c r="D1808" s="1" t="s">
        <v>109</v>
      </c>
      <c r="E1808">
        <v>140</v>
      </c>
      <c r="F1808">
        <v>1</v>
      </c>
      <c r="G1808" s="32">
        <v>1</v>
      </c>
      <c r="H1808">
        <v>2</v>
      </c>
      <c r="J1808" t="s">
        <v>101</v>
      </c>
      <c r="K1808" t="s">
        <v>36</v>
      </c>
      <c r="L1808" t="s">
        <v>28</v>
      </c>
    </row>
    <row r="1809" spans="2:12" ht="15.75" customHeight="1">
      <c r="D1809" s="34" t="s">
        <v>109</v>
      </c>
      <c r="E1809">
        <v>150</v>
      </c>
      <c r="F1809">
        <v>0</v>
      </c>
    </row>
    <row r="1810" spans="2:12" ht="15.75" customHeight="1">
      <c r="B1810" t="s">
        <v>99</v>
      </c>
      <c r="C1810" s="3" t="s">
        <v>100</v>
      </c>
      <c r="D1810" s="1" t="s">
        <v>109</v>
      </c>
      <c r="E1810">
        <v>160</v>
      </c>
      <c r="F1810">
        <v>1</v>
      </c>
      <c r="G1810" s="32">
        <v>1</v>
      </c>
      <c r="H1810">
        <v>1</v>
      </c>
      <c r="J1810" t="s">
        <v>101</v>
      </c>
      <c r="K1810" t="s">
        <v>33</v>
      </c>
      <c r="L1810" t="s">
        <v>28</v>
      </c>
    </row>
    <row r="1811" spans="2:12" ht="15.75" customHeight="1">
      <c r="B1811" t="s">
        <v>99</v>
      </c>
      <c r="C1811" s="3" t="s">
        <v>100</v>
      </c>
      <c r="D1811" s="1" t="s">
        <v>109</v>
      </c>
      <c r="E1811">
        <v>160</v>
      </c>
      <c r="F1811">
        <v>2</v>
      </c>
      <c r="G1811" s="32">
        <v>2</v>
      </c>
      <c r="H1811">
        <v>1</v>
      </c>
      <c r="J1811" t="s">
        <v>19</v>
      </c>
      <c r="K1811" t="s">
        <v>33</v>
      </c>
      <c r="L1811" t="s">
        <v>26</v>
      </c>
    </row>
    <row r="1812" spans="2:12" ht="15.75" customHeight="1">
      <c r="D1812" s="34" t="s">
        <v>109</v>
      </c>
      <c r="E1812">
        <v>170</v>
      </c>
      <c r="F1812">
        <v>0</v>
      </c>
    </row>
    <row r="1813" spans="2:12" ht="15.75" customHeight="1">
      <c r="D1813" s="34" t="s">
        <v>109</v>
      </c>
      <c r="E1813">
        <v>180</v>
      </c>
      <c r="F1813">
        <v>1</v>
      </c>
      <c r="H1813">
        <v>2</v>
      </c>
      <c r="J1813" t="s">
        <v>57</v>
      </c>
      <c r="K1813" t="s">
        <v>34</v>
      </c>
      <c r="L1813" t="s">
        <v>28</v>
      </c>
    </row>
    <row r="1814" spans="2:12" ht="15.75" customHeight="1">
      <c r="D1814" s="34" t="s">
        <v>109</v>
      </c>
      <c r="E1814">
        <v>190</v>
      </c>
      <c r="F1814">
        <v>0</v>
      </c>
    </row>
    <row r="1815" spans="2:12" ht="15.75" customHeight="1">
      <c r="B1815" t="s">
        <v>99</v>
      </c>
      <c r="C1815" s="3" t="s">
        <v>100</v>
      </c>
      <c r="D1815" s="1" t="s">
        <v>109</v>
      </c>
      <c r="E1815">
        <v>200</v>
      </c>
      <c r="F1815">
        <v>1</v>
      </c>
      <c r="G1815" s="32">
        <v>3</v>
      </c>
      <c r="H1815">
        <v>0</v>
      </c>
      <c r="J1815" s="12" t="s">
        <v>46</v>
      </c>
    </row>
    <row r="1816" spans="2:12" ht="15.75" customHeight="1">
      <c r="B1816" t="s">
        <v>99</v>
      </c>
      <c r="C1816" s="3" t="s">
        <v>100</v>
      </c>
      <c r="D1816" s="1" t="s">
        <v>109</v>
      </c>
      <c r="E1816">
        <v>200</v>
      </c>
      <c r="F1816">
        <v>2</v>
      </c>
      <c r="G1816" s="32">
        <v>2</v>
      </c>
      <c r="H1816">
        <v>2</v>
      </c>
      <c r="J1816" t="s">
        <v>101</v>
      </c>
      <c r="K1816" t="s">
        <v>36</v>
      </c>
      <c r="L1816" t="s">
        <v>28</v>
      </c>
    </row>
    <row r="1817" spans="2:12" ht="15.75" customHeight="1">
      <c r="D1817" s="34" t="s">
        <v>109</v>
      </c>
      <c r="E1817">
        <v>210</v>
      </c>
      <c r="F1817">
        <v>0</v>
      </c>
    </row>
    <row r="1818" spans="2:12" ht="15.75" customHeight="1">
      <c r="D1818" s="34" t="s">
        <v>109</v>
      </c>
      <c r="E1818">
        <v>220</v>
      </c>
      <c r="F1818">
        <v>1</v>
      </c>
      <c r="H1818">
        <v>2</v>
      </c>
      <c r="J1818" t="s">
        <v>53</v>
      </c>
      <c r="K1818" t="s">
        <v>34</v>
      </c>
      <c r="L1818" t="s">
        <v>28</v>
      </c>
    </row>
    <row r="1819" spans="2:12" ht="15.75" customHeight="1">
      <c r="D1819" s="34" t="s">
        <v>109</v>
      </c>
      <c r="E1819">
        <v>230</v>
      </c>
      <c r="F1819">
        <v>1</v>
      </c>
      <c r="H1819">
        <v>2</v>
      </c>
      <c r="J1819" t="s">
        <v>53</v>
      </c>
      <c r="K1819" t="s">
        <v>31</v>
      </c>
      <c r="L1819" t="s">
        <v>28</v>
      </c>
    </row>
    <row r="1820" spans="2:12" ht="15.75" customHeight="1">
      <c r="D1820" s="34" t="s">
        <v>109</v>
      </c>
      <c r="E1820">
        <v>240</v>
      </c>
      <c r="F1820">
        <v>1</v>
      </c>
      <c r="H1820">
        <v>2</v>
      </c>
      <c r="J1820" t="s">
        <v>53</v>
      </c>
      <c r="K1820" t="s">
        <v>34</v>
      </c>
      <c r="L1820" t="s">
        <v>28</v>
      </c>
    </row>
    <row r="1821" spans="2:12" ht="15.75" customHeight="1">
      <c r="D1821" s="34" t="s">
        <v>109</v>
      </c>
      <c r="E1821">
        <v>250</v>
      </c>
      <c r="F1821">
        <v>1</v>
      </c>
      <c r="H1821">
        <v>0</v>
      </c>
      <c r="J1821" t="s">
        <v>53</v>
      </c>
      <c r="L1821" t="s">
        <v>28</v>
      </c>
    </row>
    <row r="1822" spans="2:12" ht="15.75" customHeight="1">
      <c r="D1822" s="34" t="s">
        <v>109</v>
      </c>
      <c r="E1822">
        <v>260</v>
      </c>
      <c r="F1822">
        <v>1</v>
      </c>
      <c r="H1822">
        <v>0</v>
      </c>
      <c r="J1822" t="s">
        <v>53</v>
      </c>
      <c r="L1822" t="s">
        <v>28</v>
      </c>
    </row>
    <row r="1823" spans="2:12" ht="15.75" customHeight="1">
      <c r="D1823" s="34" t="s">
        <v>109</v>
      </c>
      <c r="E1823">
        <v>270</v>
      </c>
      <c r="F1823">
        <v>1</v>
      </c>
      <c r="H1823">
        <v>0</v>
      </c>
      <c r="J1823" t="s">
        <v>103</v>
      </c>
      <c r="L1823" t="s">
        <v>28</v>
      </c>
    </row>
    <row r="1824" spans="2:12" ht="15.75" customHeight="1">
      <c r="D1824" s="34" t="s">
        <v>109</v>
      </c>
      <c r="E1824">
        <v>280</v>
      </c>
      <c r="F1824">
        <v>1</v>
      </c>
      <c r="H1824">
        <v>0</v>
      </c>
      <c r="J1824" t="s">
        <v>103</v>
      </c>
      <c r="L1824" t="s">
        <v>28</v>
      </c>
    </row>
    <row r="1825" spans="2:12" ht="15.75" customHeight="1">
      <c r="D1825" s="34" t="s">
        <v>109</v>
      </c>
      <c r="E1825">
        <v>290</v>
      </c>
      <c r="F1825">
        <v>1</v>
      </c>
      <c r="H1825">
        <v>2</v>
      </c>
      <c r="J1825" t="s">
        <v>103</v>
      </c>
      <c r="K1825" t="s">
        <v>27</v>
      </c>
      <c r="L1825" t="s">
        <v>28</v>
      </c>
    </row>
    <row r="1826" spans="2:12" ht="15.75" customHeight="1">
      <c r="D1826" s="34" t="s">
        <v>109</v>
      </c>
      <c r="E1826">
        <v>300</v>
      </c>
      <c r="F1826">
        <v>1</v>
      </c>
      <c r="H1826">
        <v>2</v>
      </c>
      <c r="J1826" t="s">
        <v>103</v>
      </c>
      <c r="K1826" t="s">
        <v>27</v>
      </c>
      <c r="L1826" t="s">
        <v>28</v>
      </c>
    </row>
    <row r="1827" spans="2:12" ht="15.75" customHeight="1">
      <c r="D1827" s="34" t="s">
        <v>109</v>
      </c>
      <c r="E1827">
        <v>310</v>
      </c>
      <c r="F1827">
        <v>1</v>
      </c>
      <c r="H1827">
        <v>2</v>
      </c>
      <c r="J1827" t="s">
        <v>103</v>
      </c>
      <c r="K1827" t="s">
        <v>27</v>
      </c>
      <c r="L1827" t="s">
        <v>28</v>
      </c>
    </row>
    <row r="1828" spans="2:12" ht="15.75" customHeight="1">
      <c r="D1828" s="34" t="s">
        <v>109</v>
      </c>
      <c r="E1828">
        <v>320</v>
      </c>
      <c r="F1828">
        <v>1</v>
      </c>
      <c r="H1828">
        <v>2</v>
      </c>
      <c r="J1828" t="s">
        <v>103</v>
      </c>
      <c r="K1828" t="s">
        <v>27</v>
      </c>
      <c r="L1828" t="s">
        <v>28</v>
      </c>
    </row>
    <row r="1829" spans="2:12" ht="15.75" customHeight="1">
      <c r="B1829" t="s">
        <v>99</v>
      </c>
      <c r="C1829" s="3" t="s">
        <v>100</v>
      </c>
      <c r="D1829" s="1" t="s">
        <v>109</v>
      </c>
      <c r="E1829">
        <v>330</v>
      </c>
      <c r="F1829">
        <v>1</v>
      </c>
      <c r="G1829" s="32">
        <v>1</v>
      </c>
      <c r="H1829">
        <v>2</v>
      </c>
      <c r="J1829" t="s">
        <v>101</v>
      </c>
      <c r="K1829" t="s">
        <v>36</v>
      </c>
      <c r="L1829" t="s">
        <v>28</v>
      </c>
    </row>
    <row r="1830" spans="2:12" ht="15.75" customHeight="1">
      <c r="D1830" s="34" t="s">
        <v>109</v>
      </c>
      <c r="E1830">
        <v>340</v>
      </c>
      <c r="F1830">
        <v>1</v>
      </c>
      <c r="H1830">
        <v>2</v>
      </c>
      <c r="J1830" t="s">
        <v>103</v>
      </c>
      <c r="K1830" t="s">
        <v>27</v>
      </c>
      <c r="L1830" t="s">
        <v>28</v>
      </c>
    </row>
    <row r="1831" spans="2:12" ht="15.75" customHeight="1">
      <c r="D1831" s="34" t="s">
        <v>109</v>
      </c>
      <c r="E1831">
        <v>350</v>
      </c>
      <c r="F1831">
        <v>1</v>
      </c>
      <c r="H1831">
        <v>2</v>
      </c>
      <c r="J1831" t="s">
        <v>103</v>
      </c>
      <c r="K1831" t="s">
        <v>27</v>
      </c>
      <c r="L1831" t="s">
        <v>28</v>
      </c>
    </row>
    <row r="1832" spans="2:12" ht="15.75" customHeight="1">
      <c r="D1832" s="34" t="s">
        <v>109</v>
      </c>
      <c r="E1832">
        <v>360</v>
      </c>
      <c r="F1832">
        <v>1</v>
      </c>
      <c r="H1832">
        <v>2</v>
      </c>
      <c r="J1832" t="s">
        <v>103</v>
      </c>
      <c r="K1832" t="s">
        <v>27</v>
      </c>
      <c r="L1832" t="s">
        <v>28</v>
      </c>
    </row>
    <row r="1833" spans="2:12" ht="15.75" customHeight="1">
      <c r="B1833" t="s">
        <v>99</v>
      </c>
      <c r="C1833" s="3" t="s">
        <v>100</v>
      </c>
      <c r="D1833" s="1" t="s">
        <v>109</v>
      </c>
      <c r="E1833">
        <v>370</v>
      </c>
      <c r="F1833">
        <v>1</v>
      </c>
      <c r="G1833" s="32">
        <v>1</v>
      </c>
      <c r="H1833">
        <v>2</v>
      </c>
      <c r="J1833" t="s">
        <v>101</v>
      </c>
      <c r="K1833" t="s">
        <v>36</v>
      </c>
      <c r="L1833" t="s">
        <v>28</v>
      </c>
    </row>
    <row r="1834" spans="2:12" ht="15.75" customHeight="1">
      <c r="B1834" t="s">
        <v>99</v>
      </c>
      <c r="C1834" s="3" t="s">
        <v>100</v>
      </c>
      <c r="D1834" s="1" t="s">
        <v>109</v>
      </c>
      <c r="E1834">
        <v>380</v>
      </c>
      <c r="F1834">
        <v>1</v>
      </c>
      <c r="G1834" s="32">
        <v>3</v>
      </c>
      <c r="H1834">
        <v>0</v>
      </c>
      <c r="J1834" s="12" t="s">
        <v>46</v>
      </c>
    </row>
    <row r="1835" spans="2:12" ht="15.75" customHeight="1">
      <c r="B1835" t="s">
        <v>99</v>
      </c>
      <c r="C1835" s="3" t="s">
        <v>100</v>
      </c>
      <c r="D1835" s="1" t="s">
        <v>109</v>
      </c>
      <c r="E1835">
        <v>380</v>
      </c>
      <c r="F1835">
        <v>2</v>
      </c>
      <c r="G1835" s="32">
        <v>0</v>
      </c>
      <c r="H1835">
        <v>0</v>
      </c>
      <c r="J1835" t="s">
        <v>101</v>
      </c>
      <c r="L1835" t="s">
        <v>28</v>
      </c>
    </row>
    <row r="1836" spans="2:12" ht="15.75" customHeight="1">
      <c r="B1836" t="s">
        <v>99</v>
      </c>
      <c r="C1836" s="3" t="s">
        <v>100</v>
      </c>
      <c r="D1836" s="1" t="s">
        <v>109</v>
      </c>
      <c r="E1836">
        <v>390</v>
      </c>
      <c r="F1836">
        <v>1</v>
      </c>
      <c r="G1836" s="32">
        <v>3</v>
      </c>
      <c r="H1836">
        <v>0</v>
      </c>
      <c r="J1836" s="12" t="s">
        <v>46</v>
      </c>
    </row>
    <row r="1837" spans="2:12" ht="15.75" customHeight="1">
      <c r="B1837" t="s">
        <v>99</v>
      </c>
      <c r="C1837" s="3" t="s">
        <v>100</v>
      </c>
      <c r="D1837" s="1" t="s">
        <v>109</v>
      </c>
      <c r="E1837">
        <v>390</v>
      </c>
      <c r="F1837">
        <v>2</v>
      </c>
      <c r="G1837" s="32">
        <v>2</v>
      </c>
      <c r="H1837">
        <v>2</v>
      </c>
      <c r="J1837" t="s">
        <v>101</v>
      </c>
      <c r="K1837" t="s">
        <v>36</v>
      </c>
      <c r="L1837" t="s">
        <v>28</v>
      </c>
    </row>
    <row r="1838" spans="2:12" ht="15.75" customHeight="1">
      <c r="D1838" s="34" t="s">
        <v>109</v>
      </c>
      <c r="E1838">
        <v>400</v>
      </c>
      <c r="F1838">
        <v>0</v>
      </c>
    </row>
    <row r="1839" spans="2:12" ht="15.75" customHeight="1">
      <c r="D1839" s="34" t="s">
        <v>109</v>
      </c>
      <c r="E1839">
        <v>410</v>
      </c>
      <c r="F1839">
        <v>1</v>
      </c>
      <c r="H1839">
        <v>2</v>
      </c>
      <c r="J1839" t="s">
        <v>53</v>
      </c>
      <c r="K1839" t="s">
        <v>31</v>
      </c>
      <c r="L1839" t="s">
        <v>28</v>
      </c>
    </row>
    <row r="1840" spans="2:12" ht="15.75" customHeight="1">
      <c r="D1840" s="34" t="s">
        <v>109</v>
      </c>
      <c r="E1840">
        <v>420</v>
      </c>
      <c r="F1840">
        <v>1</v>
      </c>
      <c r="H1840">
        <v>2</v>
      </c>
      <c r="J1840" t="s">
        <v>53</v>
      </c>
      <c r="K1840" t="s">
        <v>31</v>
      </c>
      <c r="L1840" t="s">
        <v>28</v>
      </c>
    </row>
    <row r="1841" spans="2:12" ht="15.75" customHeight="1">
      <c r="D1841" s="34" t="s">
        <v>109</v>
      </c>
      <c r="E1841">
        <v>430</v>
      </c>
      <c r="F1841">
        <v>1</v>
      </c>
      <c r="H1841">
        <v>2</v>
      </c>
      <c r="J1841" t="s">
        <v>57</v>
      </c>
      <c r="K1841" t="s">
        <v>34</v>
      </c>
      <c r="L1841" t="s">
        <v>28</v>
      </c>
    </row>
    <row r="1842" spans="2:12" ht="15.75" customHeight="1">
      <c r="D1842" s="34" t="s">
        <v>109</v>
      </c>
      <c r="E1842">
        <v>440</v>
      </c>
      <c r="F1842">
        <v>1</v>
      </c>
      <c r="H1842">
        <v>2</v>
      </c>
      <c r="J1842" t="s">
        <v>53</v>
      </c>
      <c r="K1842" t="s">
        <v>34</v>
      </c>
      <c r="L1842" t="s">
        <v>28</v>
      </c>
    </row>
    <row r="1843" spans="2:12" ht="15.75" customHeight="1">
      <c r="D1843" s="34" t="s">
        <v>109</v>
      </c>
      <c r="E1843">
        <v>450</v>
      </c>
      <c r="F1843">
        <v>0</v>
      </c>
    </row>
    <row r="1844" spans="2:12" ht="15.75" customHeight="1">
      <c r="B1844" t="s">
        <v>99</v>
      </c>
      <c r="C1844" s="3" t="s">
        <v>100</v>
      </c>
      <c r="D1844" s="1" t="s">
        <v>109</v>
      </c>
      <c r="E1844">
        <v>460</v>
      </c>
      <c r="F1844">
        <v>1</v>
      </c>
      <c r="G1844" s="32">
        <v>1</v>
      </c>
      <c r="H1844">
        <v>2</v>
      </c>
      <c r="J1844" t="s">
        <v>35</v>
      </c>
      <c r="K1844" t="s">
        <v>33</v>
      </c>
      <c r="L1844" t="s">
        <v>28</v>
      </c>
    </row>
    <row r="1845" spans="2:12" ht="15.75" customHeight="1">
      <c r="D1845" s="34" t="s">
        <v>109</v>
      </c>
      <c r="E1845">
        <v>470</v>
      </c>
      <c r="F1845">
        <v>0</v>
      </c>
    </row>
    <row r="1846" spans="2:12" ht="15.75" customHeight="1">
      <c r="D1846" s="34" t="s">
        <v>109</v>
      </c>
      <c r="E1846">
        <v>480</v>
      </c>
      <c r="F1846">
        <v>1</v>
      </c>
      <c r="H1846">
        <v>2</v>
      </c>
      <c r="J1846" t="s">
        <v>38</v>
      </c>
      <c r="K1846" t="s">
        <v>34</v>
      </c>
      <c r="L1846" t="s">
        <v>28</v>
      </c>
    </row>
    <row r="1847" spans="2:12" ht="15.75" customHeight="1">
      <c r="D1847" s="34" t="s">
        <v>109</v>
      </c>
      <c r="E1847">
        <v>490</v>
      </c>
      <c r="F1847">
        <v>1</v>
      </c>
      <c r="H1847">
        <v>2</v>
      </c>
      <c r="J1847" t="s">
        <v>38</v>
      </c>
      <c r="K1847" t="s">
        <v>34</v>
      </c>
      <c r="L1847" t="s">
        <v>28</v>
      </c>
    </row>
    <row r="1848" spans="2:12" ht="15.75" customHeight="1">
      <c r="D1848" s="34" t="s">
        <v>109</v>
      </c>
      <c r="E1848">
        <v>500</v>
      </c>
      <c r="F1848">
        <v>1</v>
      </c>
      <c r="H1848">
        <v>2</v>
      </c>
      <c r="J1848" t="s">
        <v>38</v>
      </c>
      <c r="K1848" t="s">
        <v>34</v>
      </c>
      <c r="L1848" t="s">
        <v>28</v>
      </c>
    </row>
    <row r="1849" spans="2:12" ht="15.75" customHeight="1">
      <c r="D1849" s="34" t="s">
        <v>109</v>
      </c>
      <c r="E1849">
        <v>510</v>
      </c>
      <c r="F1849">
        <v>0</v>
      </c>
    </row>
    <row r="1850" spans="2:12" ht="15.75" customHeight="1">
      <c r="D1850" s="34" t="s">
        <v>109</v>
      </c>
      <c r="E1850">
        <v>520</v>
      </c>
      <c r="F1850">
        <v>0</v>
      </c>
    </row>
    <row r="1851" spans="2:12" ht="15.75" customHeight="1">
      <c r="B1851" t="s">
        <v>99</v>
      </c>
      <c r="C1851" s="3" t="s">
        <v>100</v>
      </c>
      <c r="D1851" s="1" t="s">
        <v>109</v>
      </c>
      <c r="E1851">
        <v>530</v>
      </c>
      <c r="F1851">
        <v>1</v>
      </c>
      <c r="G1851" s="32">
        <v>3</v>
      </c>
      <c r="H1851">
        <v>0</v>
      </c>
      <c r="J1851" t="s">
        <v>35</v>
      </c>
      <c r="L1851" t="s">
        <v>26</v>
      </c>
    </row>
    <row r="1852" spans="2:12" ht="15.75" customHeight="1">
      <c r="D1852" s="34" t="s">
        <v>109</v>
      </c>
      <c r="E1852">
        <v>540</v>
      </c>
      <c r="F1852">
        <v>1</v>
      </c>
      <c r="H1852">
        <v>2</v>
      </c>
      <c r="J1852" t="s">
        <v>38</v>
      </c>
      <c r="K1852" t="s">
        <v>34</v>
      </c>
      <c r="L1852" t="s">
        <v>28</v>
      </c>
    </row>
    <row r="1853" spans="2:12" ht="15.75" customHeight="1">
      <c r="B1853" t="s">
        <v>99</v>
      </c>
      <c r="C1853" s="3" t="s">
        <v>100</v>
      </c>
      <c r="D1853" s="1" t="s">
        <v>109</v>
      </c>
      <c r="E1853">
        <v>550</v>
      </c>
      <c r="F1853">
        <v>1</v>
      </c>
      <c r="G1853" s="32">
        <v>1</v>
      </c>
      <c r="H1853">
        <v>2</v>
      </c>
      <c r="J1853" t="s">
        <v>35</v>
      </c>
      <c r="K1853" t="s">
        <v>36</v>
      </c>
      <c r="L1853" t="s">
        <v>28</v>
      </c>
    </row>
    <row r="1854" spans="2:12" ht="15.75" customHeight="1">
      <c r="D1854" s="34" t="s">
        <v>109</v>
      </c>
      <c r="E1854">
        <v>560</v>
      </c>
      <c r="F1854">
        <v>0</v>
      </c>
    </row>
    <row r="1855" spans="2:12" ht="15.75" customHeight="1">
      <c r="D1855" s="34" t="s">
        <v>109</v>
      </c>
      <c r="E1855">
        <v>570</v>
      </c>
      <c r="F1855">
        <v>0</v>
      </c>
    </row>
    <row r="1856" spans="2:12" ht="15.75" customHeight="1">
      <c r="B1856" t="s">
        <v>99</v>
      </c>
      <c r="C1856" s="3" t="s">
        <v>100</v>
      </c>
      <c r="D1856" s="1" t="s">
        <v>109</v>
      </c>
      <c r="E1856">
        <v>580</v>
      </c>
      <c r="F1856">
        <v>1</v>
      </c>
      <c r="G1856" s="32">
        <v>1</v>
      </c>
      <c r="H1856">
        <v>2</v>
      </c>
      <c r="J1856" t="s">
        <v>101</v>
      </c>
      <c r="K1856" t="s">
        <v>36</v>
      </c>
      <c r="L1856" t="s">
        <v>39</v>
      </c>
    </row>
    <row r="1857" spans="2:12" ht="15.75" customHeight="1">
      <c r="B1857" t="s">
        <v>99</v>
      </c>
      <c r="C1857" s="3" t="s">
        <v>100</v>
      </c>
      <c r="D1857" s="1" t="s">
        <v>109</v>
      </c>
      <c r="E1857">
        <v>590</v>
      </c>
      <c r="F1857">
        <v>1</v>
      </c>
      <c r="G1857" s="32">
        <v>1</v>
      </c>
      <c r="H1857">
        <v>2</v>
      </c>
      <c r="J1857" t="s">
        <v>101</v>
      </c>
      <c r="K1857" t="s">
        <v>36</v>
      </c>
      <c r="L1857" t="s">
        <v>39</v>
      </c>
    </row>
    <row r="1858" spans="2:12" ht="15.75" customHeight="1">
      <c r="D1858" s="34" t="s">
        <v>109</v>
      </c>
      <c r="E1858">
        <v>600</v>
      </c>
      <c r="F1858">
        <v>0</v>
      </c>
    </row>
    <row r="1859" spans="2:12" ht="15.75" customHeight="1">
      <c r="B1859" t="s">
        <v>99</v>
      </c>
      <c r="C1859" s="3" t="s">
        <v>100</v>
      </c>
      <c r="D1859" s="1" t="s">
        <v>109</v>
      </c>
      <c r="E1859">
        <v>610</v>
      </c>
      <c r="F1859">
        <v>1</v>
      </c>
      <c r="G1859" s="32">
        <v>1</v>
      </c>
      <c r="H1859">
        <v>2</v>
      </c>
      <c r="J1859" t="s">
        <v>101</v>
      </c>
      <c r="K1859" t="s">
        <v>36</v>
      </c>
      <c r="L1859" t="s">
        <v>39</v>
      </c>
    </row>
    <row r="1860" spans="2:12" ht="15.75" customHeight="1">
      <c r="D1860" s="34" t="s">
        <v>109</v>
      </c>
      <c r="E1860">
        <v>620</v>
      </c>
      <c r="F1860">
        <v>1</v>
      </c>
      <c r="H1860">
        <v>2</v>
      </c>
      <c r="J1860" t="s">
        <v>103</v>
      </c>
      <c r="K1860" t="s">
        <v>27</v>
      </c>
      <c r="L1860" t="s">
        <v>28</v>
      </c>
    </row>
    <row r="1861" spans="2:12" ht="15.75" customHeight="1">
      <c r="B1861" t="s">
        <v>99</v>
      </c>
      <c r="C1861" s="3" t="s">
        <v>100</v>
      </c>
      <c r="D1861" s="1" t="s">
        <v>109</v>
      </c>
      <c r="E1861">
        <v>630</v>
      </c>
      <c r="F1861">
        <v>1</v>
      </c>
      <c r="G1861" s="32">
        <v>1</v>
      </c>
      <c r="H1861">
        <v>2</v>
      </c>
      <c r="J1861" t="s">
        <v>101</v>
      </c>
      <c r="K1861" t="s">
        <v>36</v>
      </c>
      <c r="L1861" t="s">
        <v>39</v>
      </c>
    </row>
    <row r="1862" spans="2:12" ht="15.75" customHeight="1">
      <c r="B1862" t="s">
        <v>99</v>
      </c>
      <c r="C1862" s="3" t="s">
        <v>100</v>
      </c>
      <c r="D1862" s="1" t="s">
        <v>109</v>
      </c>
      <c r="E1862">
        <v>640</v>
      </c>
      <c r="F1862">
        <v>1</v>
      </c>
      <c r="G1862" s="32">
        <v>1</v>
      </c>
      <c r="H1862">
        <v>2</v>
      </c>
      <c r="J1862" t="s">
        <v>101</v>
      </c>
      <c r="K1862" t="s">
        <v>36</v>
      </c>
      <c r="L1862" t="s">
        <v>39</v>
      </c>
    </row>
    <row r="1863" spans="2:12" ht="15.75" customHeight="1">
      <c r="D1863" s="34" t="s">
        <v>109</v>
      </c>
      <c r="E1863">
        <v>650</v>
      </c>
      <c r="F1863">
        <v>1</v>
      </c>
      <c r="H1863">
        <v>2</v>
      </c>
      <c r="J1863" t="s">
        <v>103</v>
      </c>
      <c r="K1863" t="s">
        <v>27</v>
      </c>
      <c r="L1863" t="s">
        <v>28</v>
      </c>
    </row>
    <row r="1864" spans="2:12" ht="15.75" customHeight="1">
      <c r="B1864" t="s">
        <v>99</v>
      </c>
      <c r="C1864" s="3" t="s">
        <v>100</v>
      </c>
      <c r="D1864" s="1" t="s">
        <v>109</v>
      </c>
      <c r="E1864">
        <v>660</v>
      </c>
      <c r="F1864">
        <v>1</v>
      </c>
      <c r="G1864" s="32">
        <v>1</v>
      </c>
      <c r="H1864">
        <v>2</v>
      </c>
      <c r="J1864" t="s">
        <v>101</v>
      </c>
      <c r="K1864" t="s">
        <v>36</v>
      </c>
      <c r="L1864" t="s">
        <v>39</v>
      </c>
    </row>
    <row r="1865" spans="2:12" ht="15.75" customHeight="1">
      <c r="D1865" s="34" t="s">
        <v>109</v>
      </c>
      <c r="E1865">
        <v>670</v>
      </c>
      <c r="F1865">
        <v>0</v>
      </c>
    </row>
    <row r="1866" spans="2:12" ht="15.75" customHeight="1">
      <c r="D1866" s="34" t="s">
        <v>109</v>
      </c>
      <c r="E1866">
        <v>680</v>
      </c>
      <c r="F1866">
        <v>1</v>
      </c>
      <c r="H1866">
        <v>2</v>
      </c>
      <c r="J1866" t="s">
        <v>38</v>
      </c>
      <c r="K1866" t="s">
        <v>34</v>
      </c>
      <c r="L1866" t="s">
        <v>28</v>
      </c>
    </row>
    <row r="1867" spans="2:12" ht="15.75" customHeight="1">
      <c r="D1867" s="34" t="s">
        <v>109</v>
      </c>
      <c r="E1867">
        <v>690</v>
      </c>
      <c r="F1867">
        <v>1</v>
      </c>
      <c r="H1867">
        <v>2</v>
      </c>
      <c r="J1867" t="s">
        <v>38</v>
      </c>
      <c r="K1867" t="s">
        <v>34</v>
      </c>
      <c r="L1867" t="s">
        <v>28</v>
      </c>
    </row>
    <row r="1868" spans="2:12" ht="15.75" customHeight="1">
      <c r="D1868" s="34" t="s">
        <v>109</v>
      </c>
      <c r="E1868">
        <v>700</v>
      </c>
      <c r="F1868">
        <v>0</v>
      </c>
    </row>
    <row r="1869" spans="2:12" ht="15.75" customHeight="1">
      <c r="B1869" t="s">
        <v>99</v>
      </c>
      <c r="C1869" s="3" t="s">
        <v>100</v>
      </c>
      <c r="D1869" s="1" t="s">
        <v>109</v>
      </c>
      <c r="E1869">
        <v>710</v>
      </c>
      <c r="F1869">
        <v>1</v>
      </c>
      <c r="G1869" s="32">
        <v>1</v>
      </c>
      <c r="H1869">
        <v>2</v>
      </c>
      <c r="J1869" t="s">
        <v>35</v>
      </c>
      <c r="K1869" t="s">
        <v>33</v>
      </c>
      <c r="L1869" t="s">
        <v>39</v>
      </c>
    </row>
    <row r="1870" spans="2:12" ht="15.75" customHeight="1">
      <c r="D1870" s="34" t="s">
        <v>109</v>
      </c>
      <c r="E1870">
        <v>720</v>
      </c>
      <c r="F1870">
        <v>0</v>
      </c>
    </row>
    <row r="1871" spans="2:12" ht="15.75" customHeight="1">
      <c r="B1871" t="s">
        <v>99</v>
      </c>
      <c r="C1871" s="3" t="s">
        <v>100</v>
      </c>
      <c r="D1871" s="1" t="s">
        <v>109</v>
      </c>
      <c r="E1871">
        <v>730</v>
      </c>
      <c r="F1871">
        <v>1</v>
      </c>
      <c r="G1871" s="32">
        <v>3</v>
      </c>
      <c r="H1871">
        <v>0</v>
      </c>
      <c r="J1871" s="12" t="s">
        <v>46</v>
      </c>
    </row>
    <row r="1872" spans="2:12" ht="15.75" customHeight="1">
      <c r="B1872" t="s">
        <v>99</v>
      </c>
      <c r="C1872" s="3" t="s">
        <v>100</v>
      </c>
      <c r="D1872" s="1" t="s">
        <v>109</v>
      </c>
      <c r="E1872">
        <v>730</v>
      </c>
      <c r="F1872">
        <v>2</v>
      </c>
      <c r="G1872" s="32">
        <v>2</v>
      </c>
      <c r="H1872">
        <v>2</v>
      </c>
      <c r="J1872" t="s">
        <v>35</v>
      </c>
      <c r="K1872" t="s">
        <v>36</v>
      </c>
      <c r="L1872" t="s">
        <v>39</v>
      </c>
    </row>
    <row r="1873" spans="2:12" ht="15.75" customHeight="1">
      <c r="D1873" s="34" t="s">
        <v>109</v>
      </c>
      <c r="E1873">
        <v>740</v>
      </c>
      <c r="F1873">
        <v>1</v>
      </c>
      <c r="H1873">
        <v>2</v>
      </c>
      <c r="J1873" t="s">
        <v>38</v>
      </c>
      <c r="K1873" t="s">
        <v>27</v>
      </c>
      <c r="L1873" t="s">
        <v>28</v>
      </c>
    </row>
    <row r="1874" spans="2:12" ht="15.75" customHeight="1">
      <c r="D1874" s="34" t="s">
        <v>109</v>
      </c>
      <c r="E1874">
        <v>750</v>
      </c>
      <c r="F1874">
        <v>1</v>
      </c>
      <c r="H1874">
        <v>2</v>
      </c>
      <c r="J1874" t="s">
        <v>38</v>
      </c>
      <c r="K1874" t="s">
        <v>27</v>
      </c>
      <c r="L1874" t="s">
        <v>28</v>
      </c>
    </row>
    <row r="1875" spans="2:12" ht="15.75" customHeight="1">
      <c r="D1875" s="34" t="s">
        <v>109</v>
      </c>
      <c r="E1875">
        <v>760</v>
      </c>
      <c r="F1875">
        <v>1</v>
      </c>
      <c r="H1875">
        <v>2</v>
      </c>
      <c r="J1875" t="s">
        <v>38</v>
      </c>
      <c r="K1875" t="s">
        <v>27</v>
      </c>
      <c r="L1875" t="s">
        <v>28</v>
      </c>
    </row>
    <row r="1876" spans="2:12" ht="15.75" customHeight="1">
      <c r="D1876" s="34" t="s">
        <v>109</v>
      </c>
      <c r="E1876">
        <v>770</v>
      </c>
      <c r="F1876">
        <v>0</v>
      </c>
    </row>
    <row r="1877" spans="2:12" ht="15.75" customHeight="1">
      <c r="D1877" s="34" t="s">
        <v>109</v>
      </c>
      <c r="E1877">
        <v>780</v>
      </c>
      <c r="I1877" t="s">
        <v>56</v>
      </c>
    </row>
    <row r="1878" spans="2:12" ht="15.75" customHeight="1">
      <c r="D1878" s="34" t="s">
        <v>109</v>
      </c>
      <c r="E1878">
        <v>790</v>
      </c>
      <c r="I1878" t="s">
        <v>56</v>
      </c>
    </row>
    <row r="1879" spans="2:12" ht="15.75" customHeight="1">
      <c r="D1879" s="34" t="s">
        <v>109</v>
      </c>
      <c r="E1879">
        <v>800</v>
      </c>
      <c r="I1879" t="s">
        <v>56</v>
      </c>
    </row>
    <row r="1880" spans="2:12" ht="15.75" customHeight="1">
      <c r="D1880" s="34" t="s">
        <v>109</v>
      </c>
      <c r="E1880">
        <v>810</v>
      </c>
      <c r="I1880" t="s">
        <v>56</v>
      </c>
    </row>
    <row r="1881" spans="2:12" ht="15.75" customHeight="1">
      <c r="D1881" s="34" t="s">
        <v>109</v>
      </c>
      <c r="E1881">
        <v>820</v>
      </c>
      <c r="I1881" t="s">
        <v>56</v>
      </c>
    </row>
    <row r="1882" spans="2:12" ht="15.75" customHeight="1">
      <c r="D1882" s="34" t="s">
        <v>109</v>
      </c>
      <c r="E1882">
        <v>830</v>
      </c>
      <c r="I1882" t="s">
        <v>56</v>
      </c>
    </row>
    <row r="1883" spans="2:12" ht="15.75" customHeight="1">
      <c r="D1883" s="34" t="s">
        <v>109</v>
      </c>
      <c r="E1883">
        <v>840</v>
      </c>
      <c r="I1883" t="s">
        <v>56</v>
      </c>
    </row>
    <row r="1884" spans="2:12" ht="15.75" customHeight="1">
      <c r="D1884" s="34" t="s">
        <v>109</v>
      </c>
      <c r="E1884">
        <v>850</v>
      </c>
      <c r="I1884" t="s">
        <v>56</v>
      </c>
    </row>
    <row r="1885" spans="2:12" ht="15.75" customHeight="1">
      <c r="D1885" s="34" t="s">
        <v>109</v>
      </c>
      <c r="E1885">
        <v>860</v>
      </c>
      <c r="I1885" t="s">
        <v>56</v>
      </c>
    </row>
    <row r="1886" spans="2:12" ht="15.75" customHeight="1">
      <c r="B1886" t="s">
        <v>99</v>
      </c>
      <c r="C1886" s="3" t="s">
        <v>100</v>
      </c>
      <c r="D1886" s="1" t="s">
        <v>109</v>
      </c>
      <c r="E1886">
        <v>870</v>
      </c>
      <c r="F1886">
        <v>1</v>
      </c>
      <c r="G1886" s="32">
        <v>1</v>
      </c>
      <c r="H1886">
        <v>2</v>
      </c>
      <c r="J1886" t="s">
        <v>111</v>
      </c>
      <c r="K1886" t="s">
        <v>33</v>
      </c>
      <c r="L1886" t="s">
        <v>39</v>
      </c>
    </row>
    <row r="1887" spans="2:12" ht="15.75" customHeight="1">
      <c r="D1887" s="34" t="s">
        <v>109</v>
      </c>
      <c r="E1887">
        <v>870</v>
      </c>
      <c r="I1887" s="12" t="s">
        <v>56</v>
      </c>
    </row>
    <row r="1888" spans="2:12" ht="15.75" customHeight="1">
      <c r="D1888" s="34" t="s">
        <v>109</v>
      </c>
      <c r="E1888">
        <v>880</v>
      </c>
      <c r="I1888" t="s">
        <v>56</v>
      </c>
    </row>
    <row r="1889" spans="2:12" ht="15.75" customHeight="1">
      <c r="D1889" s="34" t="s">
        <v>109</v>
      </c>
      <c r="E1889">
        <v>890</v>
      </c>
      <c r="I1889" t="s">
        <v>56</v>
      </c>
    </row>
    <row r="1890" spans="2:12" ht="15.75" customHeight="1">
      <c r="B1890" t="s">
        <v>99</v>
      </c>
      <c r="C1890" s="2" t="s">
        <v>100</v>
      </c>
      <c r="D1890" t="s">
        <v>112</v>
      </c>
      <c r="E1890" s="7">
        <v>0</v>
      </c>
      <c r="F1890">
        <v>1</v>
      </c>
      <c r="H1890" s="7"/>
      <c r="I1890" s="7" t="s">
        <v>51</v>
      </c>
    </row>
    <row r="1891" spans="2:12" ht="15.75" customHeight="1">
      <c r="B1891" t="s">
        <v>99</v>
      </c>
      <c r="C1891" s="2" t="s">
        <v>100</v>
      </c>
      <c r="D1891" t="s">
        <v>112</v>
      </c>
      <c r="E1891" s="7">
        <v>10</v>
      </c>
      <c r="F1891">
        <v>1</v>
      </c>
      <c r="G1891" s="32">
        <v>1</v>
      </c>
      <c r="H1891">
        <v>1</v>
      </c>
      <c r="I1891" s="7"/>
      <c r="J1891" t="s">
        <v>52</v>
      </c>
      <c r="K1891" t="s">
        <v>108</v>
      </c>
      <c r="L1891" t="s">
        <v>39</v>
      </c>
    </row>
    <row r="1892" spans="2:12" ht="15.75" customHeight="1">
      <c r="B1892" t="s">
        <v>99</v>
      </c>
      <c r="C1892" s="2" t="s">
        <v>100</v>
      </c>
      <c r="D1892" t="s">
        <v>112</v>
      </c>
      <c r="E1892" s="7">
        <v>10</v>
      </c>
      <c r="F1892">
        <v>2</v>
      </c>
      <c r="G1892" s="32">
        <v>2</v>
      </c>
      <c r="H1892">
        <v>1</v>
      </c>
      <c r="I1892" s="7"/>
      <c r="J1892" t="s">
        <v>19</v>
      </c>
      <c r="K1892" t="s">
        <v>20</v>
      </c>
      <c r="L1892" t="s">
        <v>26</v>
      </c>
    </row>
    <row r="1893" spans="2:12" ht="15.75" customHeight="1">
      <c r="B1893" t="s">
        <v>99</v>
      </c>
      <c r="C1893" s="2" t="s">
        <v>100</v>
      </c>
      <c r="D1893" t="s">
        <v>112</v>
      </c>
      <c r="E1893" s="7">
        <v>10</v>
      </c>
      <c r="F1893">
        <v>3</v>
      </c>
      <c r="G1893" s="32">
        <v>2</v>
      </c>
      <c r="H1893">
        <v>1</v>
      </c>
      <c r="I1893" s="7"/>
      <c r="J1893" t="s">
        <v>42</v>
      </c>
      <c r="K1893" t="s">
        <v>20</v>
      </c>
      <c r="L1893" t="s">
        <v>26</v>
      </c>
    </row>
    <row r="1894" spans="2:12" ht="15.75" customHeight="1">
      <c r="D1894" t="s">
        <v>112</v>
      </c>
      <c r="E1894">
        <v>20</v>
      </c>
      <c r="F1894">
        <v>1</v>
      </c>
      <c r="H1894">
        <v>2</v>
      </c>
      <c r="J1894" t="s">
        <v>53</v>
      </c>
      <c r="K1894" t="s">
        <v>31</v>
      </c>
      <c r="L1894" t="s">
        <v>28</v>
      </c>
    </row>
    <row r="1895" spans="2:12" ht="15.75" customHeight="1">
      <c r="B1895" t="s">
        <v>99</v>
      </c>
      <c r="C1895" s="2" t="s">
        <v>100</v>
      </c>
      <c r="D1895" t="s">
        <v>112</v>
      </c>
      <c r="E1895" s="7">
        <v>30</v>
      </c>
      <c r="F1895">
        <v>1</v>
      </c>
      <c r="G1895" s="32">
        <v>1</v>
      </c>
      <c r="H1895">
        <v>2</v>
      </c>
      <c r="I1895" s="7"/>
      <c r="J1895" t="s">
        <v>19</v>
      </c>
      <c r="K1895" t="s">
        <v>20</v>
      </c>
      <c r="L1895" t="s">
        <v>26</v>
      </c>
    </row>
    <row r="1896" spans="2:12" ht="15.75" customHeight="1">
      <c r="B1896" t="s">
        <v>99</v>
      </c>
      <c r="C1896" s="2" t="s">
        <v>100</v>
      </c>
      <c r="D1896" t="s">
        <v>112</v>
      </c>
      <c r="E1896" s="7">
        <v>30</v>
      </c>
      <c r="F1896">
        <v>2</v>
      </c>
      <c r="G1896" s="32">
        <v>2</v>
      </c>
      <c r="H1896">
        <v>2</v>
      </c>
      <c r="I1896" s="7"/>
      <c r="J1896" t="s">
        <v>47</v>
      </c>
      <c r="K1896" t="s">
        <v>36</v>
      </c>
      <c r="L1896" t="s">
        <v>39</v>
      </c>
    </row>
    <row r="1897" spans="2:12" ht="15.75" customHeight="1">
      <c r="D1897" t="s">
        <v>112</v>
      </c>
      <c r="E1897">
        <v>40</v>
      </c>
      <c r="F1897">
        <v>1</v>
      </c>
      <c r="H1897">
        <v>0</v>
      </c>
      <c r="J1897" t="s">
        <v>19</v>
      </c>
      <c r="L1897" t="s">
        <v>26</v>
      </c>
    </row>
    <row r="1898" spans="2:12" ht="15.75" customHeight="1">
      <c r="D1898" t="s">
        <v>112</v>
      </c>
      <c r="E1898">
        <v>50</v>
      </c>
      <c r="F1898">
        <v>2</v>
      </c>
      <c r="H1898">
        <v>2</v>
      </c>
      <c r="J1898" t="s">
        <v>19</v>
      </c>
      <c r="K1898" t="s">
        <v>20</v>
      </c>
      <c r="L1898" t="s">
        <v>26</v>
      </c>
    </row>
    <row r="1899" spans="2:12" ht="15.75" customHeight="1">
      <c r="D1899" t="s">
        <v>112</v>
      </c>
      <c r="E1899">
        <v>50</v>
      </c>
      <c r="F1899">
        <v>2</v>
      </c>
      <c r="I1899" s="12" t="s">
        <v>113</v>
      </c>
    </row>
    <row r="1900" spans="2:12" ht="15.75" customHeight="1">
      <c r="B1900" t="s">
        <v>99</v>
      </c>
      <c r="C1900" s="2" t="s">
        <v>100</v>
      </c>
      <c r="D1900" t="s">
        <v>112</v>
      </c>
      <c r="E1900" s="7">
        <v>60</v>
      </c>
      <c r="F1900">
        <v>1</v>
      </c>
      <c r="G1900" s="32">
        <v>1</v>
      </c>
      <c r="H1900">
        <v>1</v>
      </c>
      <c r="I1900" s="7"/>
      <c r="J1900" t="s">
        <v>19</v>
      </c>
      <c r="K1900" t="s">
        <v>33</v>
      </c>
      <c r="L1900" t="s">
        <v>26</v>
      </c>
    </row>
    <row r="1901" spans="2:12" ht="15.75" customHeight="1">
      <c r="B1901" t="s">
        <v>99</v>
      </c>
      <c r="C1901" s="2" t="s">
        <v>100</v>
      </c>
      <c r="D1901" t="s">
        <v>112</v>
      </c>
      <c r="E1901" s="7">
        <v>60</v>
      </c>
      <c r="F1901">
        <v>2</v>
      </c>
      <c r="G1901" s="32">
        <v>0</v>
      </c>
      <c r="H1901">
        <v>0</v>
      </c>
      <c r="I1901" s="7"/>
      <c r="J1901" t="s">
        <v>97</v>
      </c>
      <c r="L1901" t="s">
        <v>39</v>
      </c>
    </row>
    <row r="1902" spans="2:12" ht="15.75" customHeight="1">
      <c r="B1902" t="s">
        <v>99</v>
      </c>
      <c r="C1902" s="2" t="s">
        <v>100</v>
      </c>
      <c r="D1902" t="s">
        <v>112</v>
      </c>
      <c r="E1902" s="7">
        <v>70</v>
      </c>
      <c r="F1902">
        <v>1</v>
      </c>
      <c r="G1902" s="32">
        <v>1</v>
      </c>
      <c r="H1902">
        <v>1</v>
      </c>
      <c r="I1902" s="7"/>
      <c r="J1902" t="s">
        <v>19</v>
      </c>
      <c r="K1902" t="s">
        <v>33</v>
      </c>
      <c r="L1902" t="s">
        <v>26</v>
      </c>
    </row>
    <row r="1903" spans="2:12" ht="15.75" customHeight="1">
      <c r="B1903" t="s">
        <v>99</v>
      </c>
      <c r="C1903" s="2" t="s">
        <v>100</v>
      </c>
      <c r="D1903" t="s">
        <v>112</v>
      </c>
      <c r="E1903" s="7">
        <v>70</v>
      </c>
      <c r="F1903">
        <v>2</v>
      </c>
      <c r="G1903" s="32">
        <v>2</v>
      </c>
      <c r="H1903">
        <v>2</v>
      </c>
      <c r="I1903" s="7"/>
      <c r="J1903" t="s">
        <v>97</v>
      </c>
      <c r="K1903" t="s">
        <v>97</v>
      </c>
      <c r="L1903" t="s">
        <v>39</v>
      </c>
    </row>
    <row r="1904" spans="2:12" ht="15.75" customHeight="1">
      <c r="B1904" t="s">
        <v>99</v>
      </c>
      <c r="C1904" s="2" t="s">
        <v>100</v>
      </c>
      <c r="D1904" t="s">
        <v>112</v>
      </c>
      <c r="E1904" s="7">
        <v>80</v>
      </c>
      <c r="F1904">
        <v>1</v>
      </c>
      <c r="G1904" s="32">
        <v>1</v>
      </c>
      <c r="H1904">
        <v>1</v>
      </c>
      <c r="I1904" s="7"/>
      <c r="J1904" t="s">
        <v>19</v>
      </c>
      <c r="K1904" t="s">
        <v>33</v>
      </c>
      <c r="L1904" t="s">
        <v>26</v>
      </c>
    </row>
    <row r="1905" spans="2:12" ht="15.75" customHeight="1">
      <c r="B1905" t="s">
        <v>99</v>
      </c>
      <c r="C1905" s="2" t="s">
        <v>100</v>
      </c>
      <c r="D1905" t="s">
        <v>112</v>
      </c>
      <c r="E1905" s="7">
        <v>80</v>
      </c>
      <c r="F1905">
        <v>2</v>
      </c>
      <c r="G1905" s="32">
        <v>2</v>
      </c>
      <c r="H1905">
        <v>2</v>
      </c>
      <c r="I1905" s="7"/>
      <c r="J1905" t="s">
        <v>22</v>
      </c>
      <c r="K1905" t="s">
        <v>23</v>
      </c>
      <c r="L1905" t="s">
        <v>39</v>
      </c>
    </row>
    <row r="1906" spans="2:12" ht="15.75" customHeight="1">
      <c r="B1906" t="s">
        <v>99</v>
      </c>
      <c r="C1906" s="2" t="s">
        <v>100</v>
      </c>
      <c r="D1906" t="s">
        <v>112</v>
      </c>
      <c r="E1906" s="7">
        <v>90</v>
      </c>
      <c r="F1906">
        <v>1</v>
      </c>
      <c r="G1906" s="32">
        <v>1</v>
      </c>
      <c r="H1906">
        <v>1</v>
      </c>
      <c r="I1906" s="7"/>
      <c r="J1906" t="s">
        <v>19</v>
      </c>
      <c r="K1906" t="s">
        <v>33</v>
      </c>
      <c r="L1906" t="s">
        <v>26</v>
      </c>
    </row>
    <row r="1907" spans="2:12" ht="15.75" customHeight="1">
      <c r="B1907" t="s">
        <v>99</v>
      </c>
      <c r="C1907" s="2" t="s">
        <v>100</v>
      </c>
      <c r="D1907" t="s">
        <v>112</v>
      </c>
      <c r="E1907" s="7">
        <v>90</v>
      </c>
      <c r="F1907">
        <v>2</v>
      </c>
      <c r="G1907" s="32">
        <v>2</v>
      </c>
      <c r="H1907">
        <v>2</v>
      </c>
      <c r="I1907" s="7"/>
      <c r="J1907" t="s">
        <v>22</v>
      </c>
      <c r="K1907" t="s">
        <v>23</v>
      </c>
      <c r="L1907" t="s">
        <v>39</v>
      </c>
    </row>
    <row r="1908" spans="2:12" ht="15.75" customHeight="1">
      <c r="D1908" t="s">
        <v>112</v>
      </c>
      <c r="E1908">
        <v>100</v>
      </c>
      <c r="F1908">
        <v>1</v>
      </c>
      <c r="H1908">
        <v>0</v>
      </c>
      <c r="J1908" t="s">
        <v>22</v>
      </c>
      <c r="L1908" t="s">
        <v>28</v>
      </c>
    </row>
    <row r="1909" spans="2:12" ht="15.75" customHeight="1">
      <c r="D1909" t="s">
        <v>112</v>
      </c>
      <c r="E1909">
        <v>110</v>
      </c>
      <c r="F1909">
        <v>0</v>
      </c>
    </row>
    <row r="1910" spans="2:12" ht="15.75" customHeight="1">
      <c r="B1910" t="s">
        <v>99</v>
      </c>
      <c r="C1910" s="2" t="s">
        <v>100</v>
      </c>
      <c r="D1910" t="s">
        <v>112</v>
      </c>
      <c r="E1910" s="7">
        <v>120</v>
      </c>
      <c r="F1910">
        <v>1</v>
      </c>
      <c r="G1910" s="32">
        <v>1</v>
      </c>
      <c r="H1910">
        <v>1</v>
      </c>
      <c r="I1910" s="7"/>
      <c r="J1910" t="s">
        <v>52</v>
      </c>
      <c r="K1910" t="s">
        <v>33</v>
      </c>
      <c r="L1910" t="s">
        <v>39</v>
      </c>
    </row>
    <row r="1911" spans="2:12" ht="15.75" customHeight="1">
      <c r="D1911" t="s">
        <v>112</v>
      </c>
      <c r="E1911">
        <v>130</v>
      </c>
      <c r="F1911">
        <v>1</v>
      </c>
      <c r="H1911">
        <v>2</v>
      </c>
      <c r="J1911" t="s">
        <v>53</v>
      </c>
      <c r="K1911" t="s">
        <v>34</v>
      </c>
      <c r="L1911" t="s">
        <v>28</v>
      </c>
    </row>
    <row r="1912" spans="2:12" ht="15.75" customHeight="1">
      <c r="B1912" t="s">
        <v>99</v>
      </c>
      <c r="C1912" s="2" t="s">
        <v>100</v>
      </c>
      <c r="D1912" t="s">
        <v>112</v>
      </c>
      <c r="E1912" s="7">
        <v>140</v>
      </c>
      <c r="F1912">
        <v>1</v>
      </c>
      <c r="G1912" s="32">
        <v>2</v>
      </c>
      <c r="H1912">
        <v>1</v>
      </c>
      <c r="I1912" s="7"/>
      <c r="J1912" t="s">
        <v>19</v>
      </c>
      <c r="K1912" t="s">
        <v>20</v>
      </c>
      <c r="L1912" t="s">
        <v>26</v>
      </c>
    </row>
    <row r="1913" spans="2:12" ht="15.75" customHeight="1">
      <c r="B1913" t="s">
        <v>99</v>
      </c>
      <c r="C1913" s="2" t="s">
        <v>100</v>
      </c>
      <c r="D1913" t="s">
        <v>112</v>
      </c>
      <c r="E1913" s="7">
        <v>140</v>
      </c>
      <c r="F1913">
        <v>2</v>
      </c>
      <c r="G1913" s="32">
        <v>1</v>
      </c>
      <c r="H1913">
        <v>1</v>
      </c>
      <c r="I1913" s="7"/>
      <c r="J1913" t="s">
        <v>47</v>
      </c>
      <c r="K1913" t="s">
        <v>33</v>
      </c>
      <c r="L1913" t="s">
        <v>39</v>
      </c>
    </row>
    <row r="1914" spans="2:12" ht="15.75" customHeight="1">
      <c r="B1914" t="s">
        <v>99</v>
      </c>
      <c r="C1914" s="2" t="s">
        <v>100</v>
      </c>
      <c r="D1914" t="s">
        <v>112</v>
      </c>
      <c r="E1914" s="7">
        <v>150</v>
      </c>
      <c r="F1914">
        <v>1</v>
      </c>
      <c r="G1914" s="32">
        <v>1</v>
      </c>
      <c r="H1914">
        <v>1</v>
      </c>
      <c r="I1914" s="7"/>
      <c r="J1914" t="s">
        <v>19</v>
      </c>
      <c r="K1914" t="s">
        <v>20</v>
      </c>
      <c r="L1914" t="s">
        <v>58</v>
      </c>
    </row>
    <row r="1915" spans="2:12" ht="15.75" customHeight="1">
      <c r="B1915" t="s">
        <v>99</v>
      </c>
      <c r="C1915" s="2" t="s">
        <v>100</v>
      </c>
      <c r="D1915" t="s">
        <v>112</v>
      </c>
      <c r="E1915" s="7">
        <v>150</v>
      </c>
      <c r="F1915">
        <v>2</v>
      </c>
      <c r="G1915" s="32">
        <v>0</v>
      </c>
      <c r="H1915">
        <v>0</v>
      </c>
      <c r="I1915" s="7"/>
      <c r="J1915" t="s">
        <v>47</v>
      </c>
      <c r="L1915" t="s">
        <v>39</v>
      </c>
    </row>
    <row r="1916" spans="2:12" ht="15.75" customHeight="1">
      <c r="D1916" t="s">
        <v>112</v>
      </c>
      <c r="E1916">
        <v>160</v>
      </c>
      <c r="I1916" t="s">
        <v>56</v>
      </c>
    </row>
    <row r="1917" spans="2:12" ht="15.75" customHeight="1">
      <c r="B1917" t="s">
        <v>99</v>
      </c>
      <c r="C1917" s="3" t="s">
        <v>100</v>
      </c>
      <c r="D1917" s="1" t="s">
        <v>114</v>
      </c>
      <c r="E1917">
        <v>0</v>
      </c>
      <c r="F1917">
        <v>1</v>
      </c>
      <c r="G1917" s="32">
        <v>1</v>
      </c>
      <c r="H1917">
        <v>1</v>
      </c>
      <c r="J1917" t="s">
        <v>19</v>
      </c>
      <c r="K1917" t="s">
        <v>20</v>
      </c>
      <c r="L1917" t="s">
        <v>26</v>
      </c>
    </row>
    <row r="1918" spans="2:12" ht="15.75" customHeight="1">
      <c r="B1918" t="s">
        <v>99</v>
      </c>
      <c r="C1918" s="3" t="s">
        <v>100</v>
      </c>
      <c r="D1918" s="1" t="s">
        <v>114</v>
      </c>
      <c r="E1918">
        <v>0</v>
      </c>
      <c r="F1918">
        <v>2</v>
      </c>
      <c r="G1918" s="32">
        <v>1</v>
      </c>
      <c r="H1918">
        <v>2</v>
      </c>
      <c r="J1918" t="s">
        <v>52</v>
      </c>
      <c r="K1918" t="s">
        <v>37</v>
      </c>
      <c r="L1918" t="s">
        <v>39</v>
      </c>
    </row>
    <row r="1919" spans="2:12" ht="15.75" customHeight="1">
      <c r="B1919" t="s">
        <v>99</v>
      </c>
      <c r="C1919" s="3" t="s">
        <v>100</v>
      </c>
      <c r="D1919" s="1" t="s">
        <v>114</v>
      </c>
      <c r="E1919">
        <v>10</v>
      </c>
      <c r="F1919">
        <v>1</v>
      </c>
      <c r="G1919" s="32">
        <v>1</v>
      </c>
      <c r="H1919">
        <v>1</v>
      </c>
      <c r="J1919" t="s">
        <v>19</v>
      </c>
      <c r="K1919" t="s">
        <v>20</v>
      </c>
      <c r="L1919" t="s">
        <v>26</v>
      </c>
    </row>
    <row r="1920" spans="2:12" ht="15.75" customHeight="1">
      <c r="B1920" t="s">
        <v>99</v>
      </c>
      <c r="C1920" s="3" t="s">
        <v>100</v>
      </c>
      <c r="D1920" s="1" t="s">
        <v>114</v>
      </c>
      <c r="E1920">
        <v>10</v>
      </c>
      <c r="F1920">
        <v>2</v>
      </c>
      <c r="G1920" s="32">
        <v>2</v>
      </c>
      <c r="H1920">
        <v>2</v>
      </c>
      <c r="J1920" t="s">
        <v>52</v>
      </c>
      <c r="K1920" t="s">
        <v>37</v>
      </c>
      <c r="L1920" t="s">
        <v>39</v>
      </c>
    </row>
    <row r="1921" spans="2:12" ht="15.75" customHeight="1">
      <c r="B1921" t="s">
        <v>99</v>
      </c>
      <c r="C1921" s="3" t="s">
        <v>100</v>
      </c>
      <c r="D1921" s="1" t="s">
        <v>114</v>
      </c>
      <c r="E1921">
        <v>20</v>
      </c>
      <c r="F1921">
        <v>1</v>
      </c>
      <c r="G1921" s="32">
        <v>1</v>
      </c>
      <c r="H1921">
        <v>1</v>
      </c>
      <c r="J1921" t="s">
        <v>19</v>
      </c>
      <c r="K1921" t="s">
        <v>20</v>
      </c>
      <c r="L1921" t="s">
        <v>26</v>
      </c>
    </row>
    <row r="1922" spans="2:12" ht="15.75" customHeight="1">
      <c r="D1922" s="34" t="s">
        <v>114</v>
      </c>
      <c r="E1922">
        <v>30</v>
      </c>
      <c r="F1922">
        <v>1</v>
      </c>
      <c r="H1922">
        <v>0</v>
      </c>
      <c r="J1922" t="s">
        <v>53</v>
      </c>
      <c r="L1922" t="s">
        <v>28</v>
      </c>
    </row>
    <row r="1923" spans="2:12" ht="15.75" customHeight="1">
      <c r="D1923" s="34" t="s">
        <v>114</v>
      </c>
      <c r="E1923">
        <v>40</v>
      </c>
      <c r="F1923">
        <v>1</v>
      </c>
      <c r="H1923">
        <v>0</v>
      </c>
      <c r="J1923" t="s">
        <v>53</v>
      </c>
      <c r="L1923" t="s">
        <v>28</v>
      </c>
    </row>
    <row r="1924" spans="2:12" ht="15.75" customHeight="1">
      <c r="B1924" t="s">
        <v>99</v>
      </c>
      <c r="C1924" s="3" t="s">
        <v>100</v>
      </c>
      <c r="D1924" s="1" t="s">
        <v>114</v>
      </c>
      <c r="E1924">
        <v>50</v>
      </c>
      <c r="F1924">
        <v>1</v>
      </c>
      <c r="G1924" s="32">
        <v>1</v>
      </c>
      <c r="H1924">
        <v>1</v>
      </c>
      <c r="J1924" t="s">
        <v>19</v>
      </c>
      <c r="K1924" t="s">
        <v>20</v>
      </c>
      <c r="L1924" t="s">
        <v>26</v>
      </c>
    </row>
    <row r="1925" spans="2:12" ht="15.75" customHeight="1">
      <c r="D1925" s="34" t="s">
        <v>114</v>
      </c>
      <c r="E1925">
        <v>60</v>
      </c>
      <c r="F1925">
        <v>1</v>
      </c>
      <c r="H1925">
        <v>0</v>
      </c>
      <c r="J1925" t="s">
        <v>53</v>
      </c>
      <c r="L1925" t="s">
        <v>28</v>
      </c>
    </row>
    <row r="1926" spans="2:12" ht="15.75" customHeight="1">
      <c r="B1926" t="s">
        <v>99</v>
      </c>
      <c r="C1926" s="3" t="s">
        <v>100</v>
      </c>
      <c r="D1926" s="1" t="s">
        <v>114</v>
      </c>
      <c r="E1926">
        <v>70</v>
      </c>
      <c r="F1926">
        <v>1</v>
      </c>
      <c r="G1926" s="32">
        <v>1</v>
      </c>
      <c r="H1926">
        <v>1</v>
      </c>
      <c r="J1926" t="s">
        <v>19</v>
      </c>
      <c r="K1926" t="s">
        <v>20</v>
      </c>
      <c r="L1926" t="s">
        <v>26</v>
      </c>
    </row>
    <row r="1927" spans="2:12" ht="15.75" customHeight="1">
      <c r="B1927" t="s">
        <v>99</v>
      </c>
      <c r="C1927" s="3" t="s">
        <v>100</v>
      </c>
      <c r="D1927" s="1" t="s">
        <v>114</v>
      </c>
      <c r="E1927">
        <v>70</v>
      </c>
      <c r="F1927">
        <v>2</v>
      </c>
      <c r="G1927" s="32">
        <v>2</v>
      </c>
      <c r="H1927">
        <v>2</v>
      </c>
      <c r="J1927" t="s">
        <v>52</v>
      </c>
      <c r="K1927" t="s">
        <v>33</v>
      </c>
      <c r="L1927" t="s">
        <v>39</v>
      </c>
    </row>
    <row r="1928" spans="2:12" ht="15.75" customHeight="1">
      <c r="D1928" s="34" t="s">
        <v>114</v>
      </c>
      <c r="E1928">
        <v>80</v>
      </c>
      <c r="F1928">
        <v>1</v>
      </c>
      <c r="H1928">
        <v>2</v>
      </c>
      <c r="J1928" t="s">
        <v>53</v>
      </c>
      <c r="K1928" t="s">
        <v>34</v>
      </c>
      <c r="L1928" t="s">
        <v>28</v>
      </c>
    </row>
    <row r="1929" spans="2:12" ht="15.75" customHeight="1">
      <c r="D1929" s="34" t="s">
        <v>114</v>
      </c>
      <c r="E1929">
        <v>90</v>
      </c>
      <c r="F1929">
        <v>1</v>
      </c>
      <c r="H1929">
        <v>2</v>
      </c>
      <c r="J1929" t="s">
        <v>53</v>
      </c>
      <c r="K1929" t="s">
        <v>34</v>
      </c>
      <c r="L1929" t="s">
        <v>28</v>
      </c>
    </row>
    <row r="1930" spans="2:12" ht="15.75" customHeight="1">
      <c r="B1930" t="s">
        <v>99</v>
      </c>
      <c r="C1930" s="3" t="s">
        <v>100</v>
      </c>
      <c r="D1930" s="1" t="s">
        <v>114</v>
      </c>
      <c r="E1930">
        <v>100</v>
      </c>
      <c r="F1930">
        <v>1</v>
      </c>
      <c r="G1930" s="32">
        <v>0</v>
      </c>
      <c r="H1930">
        <v>0</v>
      </c>
      <c r="J1930" t="s">
        <v>52</v>
      </c>
      <c r="L1930" t="s">
        <v>39</v>
      </c>
    </row>
    <row r="1931" spans="2:12" ht="15.75" customHeight="1">
      <c r="B1931" t="s">
        <v>99</v>
      </c>
      <c r="C1931" s="3" t="s">
        <v>100</v>
      </c>
      <c r="D1931" s="1" t="s">
        <v>114</v>
      </c>
      <c r="E1931">
        <v>100</v>
      </c>
      <c r="F1931">
        <v>2</v>
      </c>
      <c r="G1931" s="32">
        <v>1</v>
      </c>
      <c r="H1931">
        <v>1</v>
      </c>
      <c r="J1931" t="s">
        <v>19</v>
      </c>
      <c r="K1931" t="s">
        <v>20</v>
      </c>
      <c r="L1931" t="s">
        <v>26</v>
      </c>
    </row>
    <row r="1932" spans="2:12" ht="15.75" customHeight="1">
      <c r="D1932" s="34" t="s">
        <v>114</v>
      </c>
      <c r="E1932">
        <v>110</v>
      </c>
      <c r="F1932">
        <v>1</v>
      </c>
      <c r="H1932">
        <v>0</v>
      </c>
      <c r="J1932" t="s">
        <v>53</v>
      </c>
      <c r="L1932" t="s">
        <v>28</v>
      </c>
    </row>
    <row r="1933" spans="2:12" ht="15.75" customHeight="1">
      <c r="D1933" s="34" t="s">
        <v>114</v>
      </c>
      <c r="E1933">
        <v>120</v>
      </c>
      <c r="F1933">
        <v>1</v>
      </c>
      <c r="H1933">
        <v>0</v>
      </c>
      <c r="J1933" t="s">
        <v>19</v>
      </c>
      <c r="L1933" t="s">
        <v>28</v>
      </c>
    </row>
    <row r="1934" spans="2:12" ht="15.75" customHeight="1">
      <c r="D1934" s="34" t="s">
        <v>114</v>
      </c>
      <c r="E1934">
        <v>130</v>
      </c>
      <c r="F1934">
        <v>1</v>
      </c>
      <c r="H1934">
        <v>0</v>
      </c>
      <c r="J1934" t="s">
        <v>19</v>
      </c>
      <c r="L1934" t="s">
        <v>28</v>
      </c>
    </row>
    <row r="1935" spans="2:12" ht="15.75" customHeight="1">
      <c r="D1935" s="34" t="s">
        <v>114</v>
      </c>
      <c r="E1935">
        <v>140</v>
      </c>
      <c r="F1935">
        <v>0</v>
      </c>
    </row>
    <row r="1936" spans="2:12" ht="15.75" customHeight="1">
      <c r="B1936" t="s">
        <v>99</v>
      </c>
      <c r="C1936" s="2" t="s">
        <v>100</v>
      </c>
      <c r="D1936" t="s">
        <v>115</v>
      </c>
      <c r="E1936">
        <v>0</v>
      </c>
      <c r="F1936">
        <v>1</v>
      </c>
      <c r="G1936" s="32">
        <v>1</v>
      </c>
      <c r="H1936">
        <v>1</v>
      </c>
      <c r="J1936" t="s">
        <v>32</v>
      </c>
      <c r="K1936" t="s">
        <v>33</v>
      </c>
      <c r="L1936" t="s">
        <v>39</v>
      </c>
    </row>
    <row r="1937" spans="2:12" ht="15.75" customHeight="1">
      <c r="D1937" t="s">
        <v>115</v>
      </c>
      <c r="E1937">
        <v>10</v>
      </c>
      <c r="F1937">
        <v>1</v>
      </c>
      <c r="H1937">
        <v>1</v>
      </c>
      <c r="J1937" t="s">
        <v>30</v>
      </c>
      <c r="K1937" t="s">
        <v>34</v>
      </c>
      <c r="L1937" t="s">
        <v>28</v>
      </c>
    </row>
    <row r="1938" spans="2:12" ht="15.75" customHeight="1">
      <c r="D1938" t="s">
        <v>115</v>
      </c>
      <c r="E1938">
        <v>20</v>
      </c>
      <c r="F1938">
        <v>2</v>
      </c>
      <c r="H1938">
        <v>2</v>
      </c>
    </row>
    <row r="1939" spans="2:12" ht="15.75" customHeight="1">
      <c r="D1939" t="s">
        <v>115</v>
      </c>
      <c r="E1939">
        <v>30</v>
      </c>
      <c r="F1939">
        <v>2</v>
      </c>
      <c r="H1939">
        <v>2</v>
      </c>
    </row>
    <row r="1940" spans="2:12" ht="15.75" customHeight="1">
      <c r="B1940" t="s">
        <v>99</v>
      </c>
      <c r="C1940" s="2" t="s">
        <v>100</v>
      </c>
      <c r="D1940" t="s">
        <v>115</v>
      </c>
      <c r="E1940">
        <v>40</v>
      </c>
      <c r="F1940">
        <v>1</v>
      </c>
      <c r="I1940" t="s">
        <v>56</v>
      </c>
    </row>
    <row r="1941" spans="2:12" ht="15.75" customHeight="1">
      <c r="D1941" t="s">
        <v>115</v>
      </c>
      <c r="E1941">
        <v>50</v>
      </c>
      <c r="F1941">
        <v>1</v>
      </c>
      <c r="H1941">
        <v>1</v>
      </c>
    </row>
    <row r="1942" spans="2:12" ht="15.75" customHeight="1">
      <c r="D1942" t="s">
        <v>115</v>
      </c>
      <c r="E1942">
        <v>60</v>
      </c>
      <c r="F1942">
        <v>2</v>
      </c>
      <c r="H1942" s="13">
        <v>1</v>
      </c>
    </row>
    <row r="1943" spans="2:12" ht="15.75" customHeight="1">
      <c r="D1943" t="s">
        <v>115</v>
      </c>
      <c r="E1943">
        <v>70</v>
      </c>
      <c r="F1943">
        <v>2</v>
      </c>
      <c r="H1943">
        <v>2</v>
      </c>
    </row>
    <row r="1944" spans="2:12" ht="15.75" customHeight="1">
      <c r="D1944" t="s">
        <v>115</v>
      </c>
      <c r="E1944">
        <v>80</v>
      </c>
      <c r="F1944">
        <v>1</v>
      </c>
      <c r="H1944">
        <v>1</v>
      </c>
    </row>
    <row r="1945" spans="2:12" ht="15.75" customHeight="1">
      <c r="D1945" t="s">
        <v>115</v>
      </c>
      <c r="E1945">
        <v>90</v>
      </c>
      <c r="F1945">
        <v>1</v>
      </c>
      <c r="H1945" t="s">
        <v>116</v>
      </c>
    </row>
    <row r="1946" spans="2:12" ht="15.75" customHeight="1">
      <c r="D1946" t="s">
        <v>115</v>
      </c>
      <c r="E1946">
        <v>100</v>
      </c>
      <c r="F1946">
        <v>1</v>
      </c>
      <c r="H1946" t="s">
        <v>116</v>
      </c>
    </row>
    <row r="1947" spans="2:12" ht="15.75" customHeight="1">
      <c r="B1947" t="s">
        <v>99</v>
      </c>
      <c r="C1947" s="3" t="s">
        <v>100</v>
      </c>
      <c r="D1947" s="1" t="s">
        <v>117</v>
      </c>
      <c r="E1947">
        <v>0</v>
      </c>
      <c r="F1947">
        <v>2</v>
      </c>
      <c r="G1947" s="32">
        <v>1</v>
      </c>
      <c r="H1947">
        <v>1</v>
      </c>
      <c r="J1947" t="s">
        <v>19</v>
      </c>
      <c r="K1947" t="s">
        <v>20</v>
      </c>
      <c r="L1947" t="s">
        <v>26</v>
      </c>
    </row>
    <row r="1948" spans="2:12" ht="15.75" customHeight="1">
      <c r="B1948" t="s">
        <v>99</v>
      </c>
      <c r="C1948" s="3" t="s">
        <v>100</v>
      </c>
      <c r="D1948" s="1" t="s">
        <v>117</v>
      </c>
      <c r="E1948">
        <v>0</v>
      </c>
      <c r="F1948">
        <v>2</v>
      </c>
      <c r="G1948" s="32">
        <v>2</v>
      </c>
      <c r="H1948">
        <v>2</v>
      </c>
      <c r="J1948" t="s">
        <v>47</v>
      </c>
      <c r="K1948" t="s">
        <v>36</v>
      </c>
      <c r="L1948" t="s">
        <v>39</v>
      </c>
    </row>
    <row r="1949" spans="2:12" ht="15.75" customHeight="1">
      <c r="B1949" t="s">
        <v>99</v>
      </c>
      <c r="C1949" s="3" t="s">
        <v>100</v>
      </c>
      <c r="D1949" s="1" t="s">
        <v>117</v>
      </c>
      <c r="E1949">
        <v>10</v>
      </c>
      <c r="F1949">
        <v>1</v>
      </c>
      <c r="G1949" s="32">
        <v>1</v>
      </c>
      <c r="H1949">
        <v>1</v>
      </c>
      <c r="J1949" t="s">
        <v>19</v>
      </c>
      <c r="K1949" t="s">
        <v>20</v>
      </c>
      <c r="L1949" t="s">
        <v>26</v>
      </c>
    </row>
    <row r="1950" spans="2:12" ht="15.75" customHeight="1">
      <c r="B1950" t="s">
        <v>99</v>
      </c>
      <c r="C1950" s="3" t="s">
        <v>100</v>
      </c>
      <c r="D1950" s="1" t="s">
        <v>117</v>
      </c>
      <c r="E1950">
        <v>10</v>
      </c>
      <c r="F1950">
        <v>2</v>
      </c>
      <c r="G1950" s="32">
        <v>1</v>
      </c>
      <c r="H1950">
        <v>2</v>
      </c>
      <c r="J1950" t="s">
        <v>52</v>
      </c>
      <c r="K1950" t="s">
        <v>37</v>
      </c>
      <c r="L1950" t="s">
        <v>39</v>
      </c>
    </row>
    <row r="1951" spans="2:12" ht="15.75" customHeight="1">
      <c r="D1951" t="s">
        <v>117</v>
      </c>
      <c r="E1951">
        <v>20</v>
      </c>
      <c r="F1951">
        <v>1</v>
      </c>
      <c r="H1951">
        <v>2</v>
      </c>
      <c r="J1951" t="s">
        <v>19</v>
      </c>
      <c r="K1951" t="s">
        <v>34</v>
      </c>
      <c r="L1951" t="s">
        <v>26</v>
      </c>
    </row>
    <row r="1952" spans="2:12" ht="15.75" customHeight="1">
      <c r="D1952" t="s">
        <v>117</v>
      </c>
      <c r="E1952">
        <v>20</v>
      </c>
      <c r="F1952">
        <v>2</v>
      </c>
      <c r="H1952">
        <v>2</v>
      </c>
      <c r="J1952" t="s">
        <v>57</v>
      </c>
      <c r="K1952" t="s">
        <v>57</v>
      </c>
      <c r="L1952" t="s">
        <v>28</v>
      </c>
    </row>
    <row r="1953" spans="2:12" ht="15.75" customHeight="1">
      <c r="D1953" s="34" t="s">
        <v>117</v>
      </c>
      <c r="E1953">
        <v>30</v>
      </c>
      <c r="F1953">
        <v>1</v>
      </c>
      <c r="H1953">
        <v>2</v>
      </c>
      <c r="J1953" t="s">
        <v>19</v>
      </c>
      <c r="K1953" t="s">
        <v>20</v>
      </c>
      <c r="L1953" t="s">
        <v>26</v>
      </c>
    </row>
    <row r="1954" spans="2:12" ht="15.75" customHeight="1">
      <c r="D1954" s="34" t="s">
        <v>117</v>
      </c>
      <c r="E1954">
        <v>30</v>
      </c>
      <c r="F1954">
        <v>2</v>
      </c>
      <c r="H1954">
        <v>2</v>
      </c>
      <c r="J1954" t="s">
        <v>53</v>
      </c>
      <c r="K1954" t="s">
        <v>34</v>
      </c>
      <c r="L1954" t="s">
        <v>28</v>
      </c>
    </row>
    <row r="1955" spans="2:12" ht="15.75" customHeight="1">
      <c r="B1955" t="s">
        <v>99</v>
      </c>
      <c r="C1955" s="3" t="s">
        <v>100</v>
      </c>
      <c r="D1955" s="1" t="s">
        <v>117</v>
      </c>
      <c r="E1955">
        <v>40</v>
      </c>
      <c r="F1955">
        <v>1</v>
      </c>
      <c r="G1955" s="32">
        <v>2</v>
      </c>
      <c r="H1955">
        <v>2</v>
      </c>
      <c r="J1955" t="s">
        <v>19</v>
      </c>
      <c r="K1955" t="s">
        <v>20</v>
      </c>
      <c r="L1955" t="s">
        <v>26</v>
      </c>
    </row>
    <row r="1956" spans="2:12" ht="15.75" customHeight="1">
      <c r="B1956" t="s">
        <v>99</v>
      </c>
      <c r="C1956" s="3" t="s">
        <v>100</v>
      </c>
      <c r="D1956" s="1" t="s">
        <v>117</v>
      </c>
      <c r="E1956">
        <v>40</v>
      </c>
      <c r="F1956">
        <v>2</v>
      </c>
      <c r="G1956" s="32">
        <v>1</v>
      </c>
      <c r="H1956">
        <v>2</v>
      </c>
      <c r="J1956" t="s">
        <v>52</v>
      </c>
      <c r="K1956" t="s">
        <v>37</v>
      </c>
      <c r="L1956" t="s">
        <v>39</v>
      </c>
    </row>
    <row r="1957" spans="2:12" ht="15.75" customHeight="1">
      <c r="D1957" s="34" t="s">
        <v>117</v>
      </c>
      <c r="E1957">
        <v>50</v>
      </c>
      <c r="F1957">
        <v>1</v>
      </c>
      <c r="H1957">
        <v>2</v>
      </c>
      <c r="J1957" t="s">
        <v>19</v>
      </c>
      <c r="K1957" t="s">
        <v>20</v>
      </c>
      <c r="L1957" t="s">
        <v>26</v>
      </c>
    </row>
    <row r="1958" spans="2:12" ht="15.75" customHeight="1">
      <c r="D1958" s="34" t="s">
        <v>117</v>
      </c>
      <c r="E1958">
        <v>50</v>
      </c>
      <c r="F1958">
        <v>2</v>
      </c>
      <c r="H1958">
        <v>2</v>
      </c>
      <c r="J1958" t="s">
        <v>53</v>
      </c>
      <c r="K1958" t="s">
        <v>31</v>
      </c>
      <c r="L1958" t="s">
        <v>28</v>
      </c>
    </row>
    <row r="1959" spans="2:12" ht="15.75" customHeight="1">
      <c r="B1959" t="s">
        <v>99</v>
      </c>
      <c r="C1959" s="3" t="s">
        <v>100</v>
      </c>
      <c r="D1959" s="1" t="s">
        <v>117</v>
      </c>
      <c r="E1959">
        <v>60</v>
      </c>
      <c r="F1959">
        <v>1</v>
      </c>
      <c r="G1959" s="32">
        <v>2</v>
      </c>
      <c r="H1959">
        <v>2</v>
      </c>
      <c r="J1959" t="s">
        <v>19</v>
      </c>
      <c r="K1959" t="s">
        <v>20</v>
      </c>
      <c r="L1959" t="s">
        <v>26</v>
      </c>
    </row>
    <row r="1960" spans="2:12" ht="15.75" customHeight="1">
      <c r="B1960" t="s">
        <v>99</v>
      </c>
      <c r="C1960" s="3" t="s">
        <v>100</v>
      </c>
      <c r="D1960" s="1" t="s">
        <v>117</v>
      </c>
      <c r="E1960">
        <v>60</v>
      </c>
      <c r="F1960">
        <v>2</v>
      </c>
      <c r="G1960" s="32">
        <v>1</v>
      </c>
      <c r="H1960">
        <v>2</v>
      </c>
      <c r="J1960" t="s">
        <v>52</v>
      </c>
      <c r="K1960" t="s">
        <v>37</v>
      </c>
      <c r="L1960" t="s">
        <v>39</v>
      </c>
    </row>
    <row r="1961" spans="2:12" ht="15.75" customHeight="1">
      <c r="D1961" s="34" t="s">
        <v>117</v>
      </c>
      <c r="E1961">
        <v>70</v>
      </c>
      <c r="F1961">
        <v>1</v>
      </c>
      <c r="H1961">
        <v>0</v>
      </c>
      <c r="J1961" t="s">
        <v>53</v>
      </c>
      <c r="L1961" t="s">
        <v>28</v>
      </c>
    </row>
    <row r="1962" spans="2:12" ht="15.75" customHeight="1">
      <c r="B1962" t="s">
        <v>99</v>
      </c>
      <c r="C1962" s="3" t="s">
        <v>100</v>
      </c>
      <c r="D1962" s="1" t="s">
        <v>117</v>
      </c>
      <c r="E1962">
        <v>80</v>
      </c>
      <c r="F1962">
        <v>1</v>
      </c>
      <c r="G1962" s="32">
        <v>1</v>
      </c>
      <c r="H1962">
        <v>1</v>
      </c>
      <c r="J1962" t="s">
        <v>19</v>
      </c>
      <c r="K1962" t="s">
        <v>20</v>
      </c>
      <c r="L1962" t="s">
        <v>26</v>
      </c>
    </row>
    <row r="1963" spans="2:12" ht="15.75" customHeight="1">
      <c r="B1963" t="s">
        <v>99</v>
      </c>
      <c r="C1963" s="3" t="s">
        <v>100</v>
      </c>
      <c r="D1963" s="1" t="s">
        <v>117</v>
      </c>
      <c r="E1963">
        <v>80</v>
      </c>
      <c r="F1963">
        <v>2</v>
      </c>
      <c r="G1963" s="32">
        <v>2</v>
      </c>
      <c r="H1963">
        <v>2</v>
      </c>
      <c r="J1963" t="s">
        <v>47</v>
      </c>
      <c r="K1963" t="s">
        <v>47</v>
      </c>
      <c r="L1963" t="s">
        <v>39</v>
      </c>
    </row>
    <row r="1964" spans="2:12" ht="15.75" customHeight="1">
      <c r="D1964" s="34" t="s">
        <v>117</v>
      </c>
      <c r="E1964">
        <v>90</v>
      </c>
      <c r="F1964">
        <v>1</v>
      </c>
      <c r="H1964">
        <v>2</v>
      </c>
      <c r="J1964" t="s">
        <v>57</v>
      </c>
      <c r="K1964" t="s">
        <v>57</v>
      </c>
      <c r="L1964" t="s">
        <v>28</v>
      </c>
    </row>
    <row r="1965" spans="2:12" ht="15.75" customHeight="1">
      <c r="B1965" t="s">
        <v>99</v>
      </c>
      <c r="C1965" s="3" t="s">
        <v>100</v>
      </c>
      <c r="D1965" s="1" t="s">
        <v>117</v>
      </c>
      <c r="E1965">
        <v>100</v>
      </c>
      <c r="F1965">
        <v>1</v>
      </c>
      <c r="G1965" s="32">
        <v>2</v>
      </c>
      <c r="H1965">
        <v>2</v>
      </c>
      <c r="J1965" t="s">
        <v>19</v>
      </c>
      <c r="K1965" t="s">
        <v>20</v>
      </c>
      <c r="L1965" t="s">
        <v>26</v>
      </c>
    </row>
    <row r="1966" spans="2:12" ht="15.75" customHeight="1">
      <c r="B1966" t="s">
        <v>99</v>
      </c>
      <c r="C1966" s="3" t="s">
        <v>100</v>
      </c>
      <c r="D1966" s="1" t="s">
        <v>117</v>
      </c>
      <c r="E1966">
        <v>100</v>
      </c>
      <c r="F1966">
        <v>2</v>
      </c>
      <c r="G1966" s="32">
        <v>1</v>
      </c>
      <c r="H1966">
        <v>2</v>
      </c>
      <c r="J1966" t="s">
        <v>47</v>
      </c>
      <c r="K1966" t="s">
        <v>47</v>
      </c>
      <c r="L1966" t="s">
        <v>39</v>
      </c>
    </row>
    <row r="1967" spans="2:12" ht="15.75" customHeight="1">
      <c r="D1967" s="34" t="s">
        <v>117</v>
      </c>
      <c r="E1967">
        <v>110</v>
      </c>
      <c r="F1967">
        <v>1</v>
      </c>
      <c r="H1967">
        <v>2</v>
      </c>
      <c r="J1967" t="s">
        <v>19</v>
      </c>
      <c r="K1967" t="s">
        <v>20</v>
      </c>
      <c r="L1967" t="s">
        <v>26</v>
      </c>
    </row>
    <row r="1968" spans="2:12" ht="15.75" customHeight="1">
      <c r="D1968" s="34" t="s">
        <v>117</v>
      </c>
      <c r="E1968">
        <v>110</v>
      </c>
      <c r="F1968">
        <v>2</v>
      </c>
      <c r="H1968">
        <v>2</v>
      </c>
      <c r="J1968" t="s">
        <v>53</v>
      </c>
      <c r="K1968" t="s">
        <v>34</v>
      </c>
      <c r="L1968" t="s">
        <v>28</v>
      </c>
    </row>
    <row r="1969" spans="2:12" ht="15.75" customHeight="1">
      <c r="B1969" t="s">
        <v>99</v>
      </c>
      <c r="C1969" s="3" t="s">
        <v>100</v>
      </c>
      <c r="D1969" s="1" t="s">
        <v>117</v>
      </c>
      <c r="E1969">
        <v>120</v>
      </c>
      <c r="F1969">
        <v>1</v>
      </c>
      <c r="H1969" s="7"/>
      <c r="I1969" t="s">
        <v>56</v>
      </c>
    </row>
    <row r="1970" spans="2:12" ht="15.75" customHeight="1">
      <c r="D1970" s="34" t="s">
        <v>117</v>
      </c>
      <c r="E1970">
        <v>130</v>
      </c>
      <c r="F1970">
        <v>1</v>
      </c>
      <c r="H1970">
        <v>0</v>
      </c>
      <c r="J1970" t="s">
        <v>53</v>
      </c>
      <c r="L1970" t="s">
        <v>28</v>
      </c>
    </row>
    <row r="1971" spans="2:12" ht="15.75" customHeight="1">
      <c r="D1971" s="34" t="s">
        <v>117</v>
      </c>
      <c r="E1971">
        <v>140</v>
      </c>
      <c r="F1971">
        <v>1</v>
      </c>
      <c r="H1971">
        <v>2</v>
      </c>
      <c r="J1971" t="s">
        <v>53</v>
      </c>
      <c r="K1971" t="s">
        <v>34</v>
      </c>
      <c r="L1971" t="s">
        <v>28</v>
      </c>
    </row>
    <row r="1972" spans="2:12" ht="15.75" customHeight="1">
      <c r="D1972" s="34" t="s">
        <v>117</v>
      </c>
      <c r="E1972">
        <v>150</v>
      </c>
      <c r="F1972">
        <v>0</v>
      </c>
    </row>
    <row r="1973" spans="2:12" ht="15.75" customHeight="1">
      <c r="D1973" s="34" t="s">
        <v>117</v>
      </c>
      <c r="E1973">
        <v>160</v>
      </c>
      <c r="F1973">
        <v>1</v>
      </c>
      <c r="H1973">
        <v>2</v>
      </c>
      <c r="J1973" t="s">
        <v>57</v>
      </c>
      <c r="K1973" t="s">
        <v>57</v>
      </c>
      <c r="L1973" t="s">
        <v>28</v>
      </c>
    </row>
    <row r="1974" spans="2:12" ht="15.75" customHeight="1">
      <c r="D1974" s="34" t="s">
        <v>117</v>
      </c>
      <c r="E1974">
        <v>170</v>
      </c>
      <c r="F1974">
        <v>1</v>
      </c>
      <c r="H1974">
        <v>0</v>
      </c>
      <c r="J1974" t="s">
        <v>19</v>
      </c>
      <c r="L1974" t="s">
        <v>26</v>
      </c>
    </row>
    <row r="1975" spans="2:12" ht="15.75" customHeight="1">
      <c r="D1975" s="34" t="s">
        <v>117</v>
      </c>
      <c r="E1975">
        <v>170</v>
      </c>
      <c r="F1975">
        <v>2</v>
      </c>
      <c r="H1975">
        <v>2</v>
      </c>
      <c r="J1975" t="s">
        <v>57</v>
      </c>
      <c r="K1975" t="s">
        <v>57</v>
      </c>
      <c r="L1975" t="s">
        <v>28</v>
      </c>
    </row>
    <row r="1976" spans="2:12" ht="15.75" customHeight="1">
      <c r="B1976" t="s">
        <v>99</v>
      </c>
      <c r="C1976" s="2" t="s">
        <v>118</v>
      </c>
      <c r="D1976" t="s">
        <v>119</v>
      </c>
      <c r="E1976">
        <v>0</v>
      </c>
      <c r="F1976">
        <v>1</v>
      </c>
      <c r="G1976" s="32" t="s">
        <v>50</v>
      </c>
      <c r="I1976" t="s">
        <v>51</v>
      </c>
    </row>
    <row r="1977" spans="2:12" ht="15.75" customHeight="1">
      <c r="B1977" t="s">
        <v>99</v>
      </c>
      <c r="C1977" s="2" t="s">
        <v>100</v>
      </c>
      <c r="D1977" t="s">
        <v>119</v>
      </c>
      <c r="E1977">
        <v>10</v>
      </c>
      <c r="F1977">
        <v>1</v>
      </c>
      <c r="G1977" s="32" t="s">
        <v>50</v>
      </c>
      <c r="I1977" t="s">
        <v>51</v>
      </c>
    </row>
    <row r="1978" spans="2:12" ht="15.75" customHeight="1">
      <c r="B1978" t="s">
        <v>99</v>
      </c>
      <c r="C1978" s="2" t="s">
        <v>100</v>
      </c>
      <c r="D1978" t="s">
        <v>119</v>
      </c>
      <c r="E1978">
        <v>20</v>
      </c>
      <c r="F1978">
        <v>1</v>
      </c>
      <c r="G1978" s="32" t="s">
        <v>50</v>
      </c>
      <c r="I1978" t="s">
        <v>51</v>
      </c>
    </row>
    <row r="1979" spans="2:12" ht="15.75" customHeight="1">
      <c r="D1979" t="s">
        <v>119</v>
      </c>
      <c r="E1979">
        <v>30</v>
      </c>
      <c r="F1979">
        <v>1</v>
      </c>
      <c r="H1979">
        <v>0</v>
      </c>
      <c r="J1979" t="s">
        <v>53</v>
      </c>
      <c r="L1979" t="s">
        <v>28</v>
      </c>
    </row>
    <row r="1980" spans="2:12" ht="15.75" customHeight="1">
      <c r="D1980" t="s">
        <v>119</v>
      </c>
      <c r="E1980">
        <v>40</v>
      </c>
      <c r="F1980">
        <v>1</v>
      </c>
      <c r="H1980">
        <v>0</v>
      </c>
      <c r="J1980" t="s">
        <v>53</v>
      </c>
      <c r="L1980" t="s">
        <v>28</v>
      </c>
    </row>
    <row r="1981" spans="2:12" ht="15.75" customHeight="1">
      <c r="D1981" t="s">
        <v>119</v>
      </c>
      <c r="E1981">
        <v>50</v>
      </c>
      <c r="F1981">
        <v>1</v>
      </c>
      <c r="H1981">
        <v>0</v>
      </c>
      <c r="J1981" t="s">
        <v>53</v>
      </c>
      <c r="L1981" t="s">
        <v>28</v>
      </c>
    </row>
    <row r="1982" spans="2:12" ht="15.75" customHeight="1">
      <c r="B1982" t="s">
        <v>99</v>
      </c>
      <c r="C1982" s="2" t="s">
        <v>100</v>
      </c>
      <c r="D1982" t="s">
        <v>119</v>
      </c>
      <c r="E1982">
        <v>60</v>
      </c>
      <c r="F1982">
        <v>1</v>
      </c>
      <c r="G1982" s="32">
        <v>1</v>
      </c>
      <c r="H1982">
        <v>2</v>
      </c>
      <c r="J1982" t="s">
        <v>52</v>
      </c>
      <c r="K1982" t="s">
        <v>33</v>
      </c>
      <c r="L1982" t="s">
        <v>28</v>
      </c>
    </row>
    <row r="1983" spans="2:12" ht="15.75" customHeight="1">
      <c r="D1983" t="s">
        <v>119</v>
      </c>
      <c r="E1983">
        <v>70</v>
      </c>
      <c r="F1983">
        <v>1</v>
      </c>
      <c r="H1983">
        <v>0</v>
      </c>
      <c r="J1983" t="s">
        <v>19</v>
      </c>
      <c r="L1983" t="s">
        <v>28</v>
      </c>
    </row>
    <row r="1984" spans="2:12" ht="15.75" customHeight="1">
      <c r="D1984" t="s">
        <v>119</v>
      </c>
      <c r="E1984">
        <v>70</v>
      </c>
      <c r="F1984">
        <v>2</v>
      </c>
      <c r="H1984">
        <v>0</v>
      </c>
      <c r="J1984" t="s">
        <v>53</v>
      </c>
      <c r="L1984" t="s">
        <v>28</v>
      </c>
    </row>
    <row r="1985" spans="2:12" ht="15.75" customHeight="1">
      <c r="B1985" t="s">
        <v>99</v>
      </c>
      <c r="C1985" s="2" t="s">
        <v>100</v>
      </c>
      <c r="D1985" t="s">
        <v>119</v>
      </c>
      <c r="E1985">
        <v>80</v>
      </c>
      <c r="F1985">
        <v>1</v>
      </c>
      <c r="G1985" s="32">
        <v>1</v>
      </c>
      <c r="H1985">
        <v>2</v>
      </c>
      <c r="J1985" t="s">
        <v>52</v>
      </c>
      <c r="K1985" t="s">
        <v>33</v>
      </c>
      <c r="L1985" t="s">
        <v>28</v>
      </c>
    </row>
    <row r="1986" spans="2:12" ht="15.75" customHeight="1">
      <c r="B1986" t="s">
        <v>99</v>
      </c>
      <c r="C1986" s="2" t="s">
        <v>100</v>
      </c>
      <c r="D1986" t="s">
        <v>119</v>
      </c>
      <c r="E1986">
        <v>90</v>
      </c>
      <c r="F1986">
        <v>1</v>
      </c>
      <c r="G1986" s="32">
        <v>1</v>
      </c>
      <c r="H1986">
        <v>2</v>
      </c>
      <c r="J1986" t="s">
        <v>52</v>
      </c>
      <c r="K1986" t="s">
        <v>33</v>
      </c>
      <c r="L1986" t="s">
        <v>28</v>
      </c>
    </row>
    <row r="1987" spans="2:12" ht="15.75" customHeight="1">
      <c r="D1987" t="s">
        <v>119</v>
      </c>
      <c r="E1987">
        <v>100</v>
      </c>
      <c r="F1987">
        <v>1</v>
      </c>
      <c r="H1987">
        <v>2</v>
      </c>
      <c r="J1987" t="s">
        <v>53</v>
      </c>
      <c r="K1987" t="s">
        <v>34</v>
      </c>
      <c r="L1987" t="s">
        <v>28</v>
      </c>
    </row>
    <row r="1988" spans="2:12" ht="15.75" customHeight="1">
      <c r="D1988" t="s">
        <v>119</v>
      </c>
      <c r="E1988">
        <v>110</v>
      </c>
      <c r="F1988">
        <v>1</v>
      </c>
      <c r="H1988">
        <v>2</v>
      </c>
      <c r="J1988" t="s">
        <v>53</v>
      </c>
      <c r="K1988" t="s">
        <v>31</v>
      </c>
      <c r="L1988" t="s">
        <v>28</v>
      </c>
    </row>
    <row r="1989" spans="2:12" ht="15.75" customHeight="1">
      <c r="B1989" t="s">
        <v>99</v>
      </c>
      <c r="C1989" s="2" t="s">
        <v>100</v>
      </c>
      <c r="D1989" t="s">
        <v>119</v>
      </c>
      <c r="E1989">
        <v>120</v>
      </c>
      <c r="F1989">
        <v>1</v>
      </c>
      <c r="G1989" s="32">
        <v>1</v>
      </c>
      <c r="H1989">
        <v>2</v>
      </c>
      <c r="J1989" t="s">
        <v>19</v>
      </c>
      <c r="K1989" t="s">
        <v>20</v>
      </c>
      <c r="L1989" t="s">
        <v>26</v>
      </c>
    </row>
    <row r="1990" spans="2:12" ht="15.75" customHeight="1">
      <c r="B1990" t="s">
        <v>99</v>
      </c>
      <c r="C1990" s="2" t="s">
        <v>100</v>
      </c>
      <c r="D1990" t="s">
        <v>119</v>
      </c>
      <c r="E1990">
        <v>120</v>
      </c>
      <c r="F1990">
        <v>2</v>
      </c>
      <c r="G1990" s="32">
        <v>2</v>
      </c>
      <c r="H1990">
        <v>2</v>
      </c>
      <c r="J1990" t="s">
        <v>52</v>
      </c>
      <c r="K1990" t="s">
        <v>108</v>
      </c>
      <c r="L1990" t="s">
        <v>28</v>
      </c>
    </row>
    <row r="1991" spans="2:12" ht="15.75" customHeight="1">
      <c r="B1991" t="s">
        <v>99</v>
      </c>
      <c r="C1991" s="2" t="s">
        <v>100</v>
      </c>
      <c r="D1991" t="s">
        <v>119</v>
      </c>
      <c r="E1991">
        <v>130</v>
      </c>
      <c r="F1991">
        <v>1</v>
      </c>
      <c r="G1991" s="32">
        <v>1</v>
      </c>
      <c r="H1991">
        <v>2</v>
      </c>
      <c r="J1991" t="s">
        <v>19</v>
      </c>
      <c r="K1991" t="s">
        <v>20</v>
      </c>
      <c r="L1991" t="s">
        <v>26</v>
      </c>
    </row>
    <row r="1992" spans="2:12" ht="15.75" customHeight="1">
      <c r="B1992" t="s">
        <v>99</v>
      </c>
      <c r="C1992" s="2" t="s">
        <v>100</v>
      </c>
      <c r="D1992" t="s">
        <v>119</v>
      </c>
      <c r="E1992">
        <v>130</v>
      </c>
      <c r="F1992">
        <v>2</v>
      </c>
      <c r="G1992" s="32">
        <v>0</v>
      </c>
      <c r="H1992">
        <v>0</v>
      </c>
      <c r="J1992" t="s">
        <v>52</v>
      </c>
      <c r="L1992" t="s">
        <v>28</v>
      </c>
    </row>
    <row r="1993" spans="2:12" ht="15.75" customHeight="1">
      <c r="D1993" t="s">
        <v>119</v>
      </c>
      <c r="E1993">
        <v>140</v>
      </c>
      <c r="F1993">
        <v>0</v>
      </c>
    </row>
    <row r="1994" spans="2:12" ht="15.75" customHeight="1">
      <c r="D1994" t="s">
        <v>119</v>
      </c>
      <c r="E1994">
        <v>150</v>
      </c>
      <c r="F1994">
        <v>0</v>
      </c>
    </row>
    <row r="1995" spans="2:12" ht="15.75" customHeight="1">
      <c r="D1995" t="s">
        <v>119</v>
      </c>
      <c r="E1995">
        <v>160</v>
      </c>
      <c r="F1995">
        <v>1</v>
      </c>
      <c r="H1995">
        <v>0</v>
      </c>
      <c r="J1995" t="s">
        <v>53</v>
      </c>
      <c r="L1995" t="s">
        <v>28</v>
      </c>
    </row>
    <row r="1996" spans="2:12" ht="15.75" customHeight="1">
      <c r="B1996" t="s">
        <v>99</v>
      </c>
      <c r="C1996" s="2" t="s">
        <v>100</v>
      </c>
      <c r="D1996" t="s">
        <v>119</v>
      </c>
      <c r="E1996">
        <v>170</v>
      </c>
      <c r="F1996">
        <v>1</v>
      </c>
      <c r="G1996" s="32">
        <v>1</v>
      </c>
      <c r="H1996">
        <v>1</v>
      </c>
      <c r="J1996" t="s">
        <v>19</v>
      </c>
      <c r="K1996" t="s">
        <v>20</v>
      </c>
      <c r="L1996" t="s">
        <v>26</v>
      </c>
    </row>
    <row r="1997" spans="2:12" ht="15.75" customHeight="1">
      <c r="B1997" t="s">
        <v>99</v>
      </c>
      <c r="C1997" s="2" t="s">
        <v>100</v>
      </c>
      <c r="D1997" t="s">
        <v>119</v>
      </c>
      <c r="E1997">
        <v>170</v>
      </c>
      <c r="F1997">
        <v>2</v>
      </c>
      <c r="G1997" s="32">
        <v>0</v>
      </c>
      <c r="H1997">
        <v>0</v>
      </c>
      <c r="J1997" t="s">
        <v>52</v>
      </c>
      <c r="L1997" t="s">
        <v>28</v>
      </c>
    </row>
    <row r="1998" spans="2:12" ht="15.75" customHeight="1">
      <c r="B1998" t="s">
        <v>99</v>
      </c>
      <c r="C1998" s="2" t="s">
        <v>100</v>
      </c>
      <c r="D1998" t="s">
        <v>119</v>
      </c>
      <c r="E1998">
        <v>180</v>
      </c>
      <c r="F1998">
        <v>1</v>
      </c>
      <c r="G1998" s="32">
        <v>1</v>
      </c>
      <c r="H1998">
        <v>1</v>
      </c>
      <c r="J1998" t="s">
        <v>19</v>
      </c>
      <c r="K1998" t="s">
        <v>20</v>
      </c>
      <c r="L1998" t="s">
        <v>26</v>
      </c>
    </row>
    <row r="1999" spans="2:12" ht="15.75" customHeight="1">
      <c r="B1999" t="s">
        <v>99</v>
      </c>
      <c r="C1999" s="2" t="s">
        <v>100</v>
      </c>
      <c r="D1999" t="s">
        <v>119</v>
      </c>
      <c r="E1999">
        <v>180</v>
      </c>
      <c r="F1999">
        <v>2</v>
      </c>
      <c r="G1999" s="32">
        <v>2</v>
      </c>
      <c r="H1999">
        <v>1</v>
      </c>
      <c r="J1999" t="s">
        <v>52</v>
      </c>
      <c r="K1999" t="s">
        <v>33</v>
      </c>
      <c r="L1999" t="s">
        <v>28</v>
      </c>
    </row>
    <row r="2000" spans="2:12" ht="15.75" customHeight="1">
      <c r="B2000" t="s">
        <v>99</v>
      </c>
      <c r="C2000" s="2" t="s">
        <v>100</v>
      </c>
      <c r="D2000" t="s">
        <v>119</v>
      </c>
      <c r="E2000">
        <v>190</v>
      </c>
      <c r="F2000">
        <v>1</v>
      </c>
      <c r="G2000" s="32">
        <v>1</v>
      </c>
      <c r="H2000">
        <v>1</v>
      </c>
      <c r="J2000" t="s">
        <v>19</v>
      </c>
      <c r="K2000" t="s">
        <v>20</v>
      </c>
      <c r="L2000" t="s">
        <v>26</v>
      </c>
    </row>
    <row r="2001" spans="2:12" ht="15.75" customHeight="1">
      <c r="B2001" t="s">
        <v>99</v>
      </c>
      <c r="C2001" s="2" t="s">
        <v>100</v>
      </c>
      <c r="D2001" t="s">
        <v>119</v>
      </c>
      <c r="E2001">
        <v>190</v>
      </c>
      <c r="F2001">
        <v>2</v>
      </c>
      <c r="G2001" s="32">
        <v>2</v>
      </c>
      <c r="H2001">
        <v>2</v>
      </c>
      <c r="J2001" t="s">
        <v>52</v>
      </c>
      <c r="K2001" t="s">
        <v>33</v>
      </c>
      <c r="L2001" t="s">
        <v>28</v>
      </c>
    </row>
    <row r="2002" spans="2:12" ht="15.75" customHeight="1">
      <c r="D2002" t="s">
        <v>119</v>
      </c>
      <c r="E2002">
        <v>200</v>
      </c>
      <c r="F2002">
        <v>1</v>
      </c>
      <c r="H2002">
        <v>0</v>
      </c>
      <c r="J2002" t="s">
        <v>53</v>
      </c>
      <c r="L2002" t="s">
        <v>28</v>
      </c>
    </row>
    <row r="2003" spans="2:12" ht="15.75" customHeight="1">
      <c r="D2003" t="s">
        <v>119</v>
      </c>
      <c r="E2003">
        <v>200</v>
      </c>
      <c r="F2003">
        <v>2</v>
      </c>
      <c r="H2003">
        <v>0</v>
      </c>
      <c r="J2003" t="s">
        <v>19</v>
      </c>
      <c r="L2003" t="s">
        <v>26</v>
      </c>
    </row>
    <row r="2004" spans="2:12" ht="15.75" customHeight="1">
      <c r="B2004" t="s">
        <v>99</v>
      </c>
      <c r="C2004" s="2" t="s">
        <v>100</v>
      </c>
      <c r="D2004" t="s">
        <v>119</v>
      </c>
      <c r="E2004">
        <v>210</v>
      </c>
      <c r="F2004">
        <v>1</v>
      </c>
      <c r="G2004" s="32">
        <v>1</v>
      </c>
      <c r="H2004">
        <v>1</v>
      </c>
      <c r="J2004" t="s">
        <v>52</v>
      </c>
      <c r="K2004" t="s">
        <v>108</v>
      </c>
      <c r="L2004" t="s">
        <v>28</v>
      </c>
    </row>
    <row r="2005" spans="2:12" ht="15.75" customHeight="1">
      <c r="B2005" t="s">
        <v>99</v>
      </c>
      <c r="C2005" s="2" t="s">
        <v>100</v>
      </c>
      <c r="D2005" t="s">
        <v>119</v>
      </c>
      <c r="E2005">
        <v>220</v>
      </c>
      <c r="F2005">
        <v>1</v>
      </c>
      <c r="G2005" s="32">
        <v>1</v>
      </c>
      <c r="H2005">
        <v>1</v>
      </c>
      <c r="J2005" t="s">
        <v>52</v>
      </c>
      <c r="K2005" t="s">
        <v>108</v>
      </c>
      <c r="L2005" t="s">
        <v>28</v>
      </c>
    </row>
    <row r="2006" spans="2:12" ht="15.75" customHeight="1">
      <c r="B2006" t="s">
        <v>99</v>
      </c>
      <c r="C2006" s="2" t="s">
        <v>100</v>
      </c>
      <c r="D2006" t="s">
        <v>119</v>
      </c>
      <c r="E2006">
        <v>230</v>
      </c>
      <c r="F2006">
        <v>1</v>
      </c>
      <c r="G2006" s="32">
        <v>1</v>
      </c>
      <c r="H2006">
        <v>1</v>
      </c>
      <c r="J2006" t="s">
        <v>19</v>
      </c>
      <c r="K2006" t="s">
        <v>20</v>
      </c>
      <c r="L2006" t="s">
        <v>26</v>
      </c>
    </row>
    <row r="2007" spans="2:12" ht="15.75" customHeight="1">
      <c r="B2007" t="s">
        <v>99</v>
      </c>
      <c r="C2007" s="2" t="s">
        <v>100</v>
      </c>
      <c r="D2007" t="s">
        <v>119</v>
      </c>
      <c r="E2007">
        <v>230</v>
      </c>
      <c r="F2007">
        <v>2</v>
      </c>
      <c r="G2007" s="32">
        <v>1</v>
      </c>
      <c r="H2007">
        <v>2</v>
      </c>
      <c r="J2007" t="s">
        <v>52</v>
      </c>
      <c r="K2007" t="s">
        <v>108</v>
      </c>
      <c r="L2007" t="s">
        <v>28</v>
      </c>
    </row>
    <row r="2008" spans="2:12" ht="15.75" customHeight="1">
      <c r="B2008" t="s">
        <v>99</v>
      </c>
      <c r="C2008" s="2" t="s">
        <v>100</v>
      </c>
      <c r="D2008" t="s">
        <v>119</v>
      </c>
      <c r="E2008">
        <v>240</v>
      </c>
      <c r="F2008">
        <v>1</v>
      </c>
      <c r="G2008" s="32">
        <v>1</v>
      </c>
      <c r="H2008">
        <v>1</v>
      </c>
      <c r="J2008" t="s">
        <v>19</v>
      </c>
      <c r="K2008" t="s">
        <v>20</v>
      </c>
      <c r="L2008" t="s">
        <v>26</v>
      </c>
    </row>
    <row r="2009" spans="2:12" ht="15.75" customHeight="1">
      <c r="B2009" t="s">
        <v>99</v>
      </c>
      <c r="C2009" s="2" t="s">
        <v>100</v>
      </c>
      <c r="D2009" t="s">
        <v>119</v>
      </c>
      <c r="E2009">
        <v>240</v>
      </c>
      <c r="F2009">
        <v>2</v>
      </c>
      <c r="G2009" s="32">
        <v>1</v>
      </c>
      <c r="H2009">
        <v>2</v>
      </c>
      <c r="J2009" t="s">
        <v>52</v>
      </c>
      <c r="K2009" t="s">
        <v>108</v>
      </c>
      <c r="L2009" t="s">
        <v>28</v>
      </c>
    </row>
    <row r="2010" spans="2:12" ht="15.75" customHeight="1">
      <c r="D2010" t="s">
        <v>119</v>
      </c>
      <c r="E2010">
        <v>250</v>
      </c>
      <c r="F2010">
        <v>1</v>
      </c>
      <c r="H2010">
        <v>1</v>
      </c>
      <c r="J2010" t="s">
        <v>53</v>
      </c>
      <c r="K2010" t="s">
        <v>20</v>
      </c>
      <c r="L2010" t="s">
        <v>26</v>
      </c>
    </row>
    <row r="2011" spans="2:12" ht="15.75" customHeight="1">
      <c r="B2011" t="s">
        <v>99</v>
      </c>
      <c r="C2011" s="2" t="s">
        <v>100</v>
      </c>
      <c r="D2011" t="s">
        <v>119</v>
      </c>
      <c r="E2011">
        <v>260</v>
      </c>
      <c r="F2011">
        <v>1</v>
      </c>
      <c r="G2011" s="32">
        <v>2</v>
      </c>
      <c r="H2011">
        <v>1</v>
      </c>
      <c r="J2011" t="s">
        <v>19</v>
      </c>
      <c r="K2011" t="s">
        <v>20</v>
      </c>
      <c r="L2011" t="s">
        <v>26</v>
      </c>
    </row>
    <row r="2012" spans="2:12" ht="15.75" customHeight="1">
      <c r="B2012" t="s">
        <v>99</v>
      </c>
      <c r="C2012" s="2" t="s">
        <v>100</v>
      </c>
      <c r="D2012" t="s">
        <v>119</v>
      </c>
      <c r="E2012">
        <v>260</v>
      </c>
      <c r="F2012">
        <v>1</v>
      </c>
      <c r="G2012" s="32">
        <v>1</v>
      </c>
      <c r="H2012">
        <v>2</v>
      </c>
      <c r="J2012" t="s">
        <v>52</v>
      </c>
      <c r="K2012" t="s">
        <v>108</v>
      </c>
      <c r="L2012" t="s">
        <v>28</v>
      </c>
    </row>
    <row r="2013" spans="2:12" ht="15.75" customHeight="1">
      <c r="B2013" t="s">
        <v>99</v>
      </c>
      <c r="C2013" s="2" t="s">
        <v>100</v>
      </c>
      <c r="D2013" t="s">
        <v>119</v>
      </c>
      <c r="E2013">
        <v>270</v>
      </c>
      <c r="F2013">
        <v>1</v>
      </c>
      <c r="G2013" s="32">
        <v>1</v>
      </c>
      <c r="H2013">
        <v>1</v>
      </c>
      <c r="J2013" t="s">
        <v>19</v>
      </c>
      <c r="K2013" t="s">
        <v>20</v>
      </c>
      <c r="L2013" t="s">
        <v>26</v>
      </c>
    </row>
    <row r="2014" spans="2:12" ht="15.75" customHeight="1">
      <c r="B2014" t="s">
        <v>99</v>
      </c>
      <c r="C2014" s="2" t="s">
        <v>100</v>
      </c>
      <c r="D2014" t="s">
        <v>119</v>
      </c>
      <c r="E2014">
        <v>270</v>
      </c>
      <c r="F2014">
        <v>2</v>
      </c>
      <c r="G2014" s="32">
        <v>3</v>
      </c>
      <c r="H2014">
        <v>0</v>
      </c>
      <c r="J2014" t="s">
        <v>52</v>
      </c>
      <c r="L2014" t="s">
        <v>28</v>
      </c>
    </row>
    <row r="2015" spans="2:12" ht="15.75" customHeight="1">
      <c r="B2015" t="s">
        <v>99</v>
      </c>
      <c r="C2015" s="2" t="s">
        <v>100</v>
      </c>
      <c r="D2015" t="s">
        <v>119</v>
      </c>
      <c r="E2015">
        <v>280</v>
      </c>
      <c r="F2015">
        <v>1</v>
      </c>
      <c r="G2015" s="32">
        <v>1</v>
      </c>
      <c r="H2015">
        <v>1</v>
      </c>
      <c r="J2015" t="s">
        <v>19</v>
      </c>
      <c r="K2015" t="s">
        <v>20</v>
      </c>
      <c r="L2015" t="s">
        <v>26</v>
      </c>
    </row>
    <row r="2016" spans="2:12" ht="15.75" customHeight="1">
      <c r="B2016" t="s">
        <v>99</v>
      </c>
      <c r="C2016" s="2" t="s">
        <v>100</v>
      </c>
      <c r="D2016" t="s">
        <v>119</v>
      </c>
      <c r="E2016">
        <v>280</v>
      </c>
      <c r="F2016">
        <v>2</v>
      </c>
      <c r="G2016" s="32">
        <v>1</v>
      </c>
      <c r="H2016">
        <v>2</v>
      </c>
      <c r="J2016" t="s">
        <v>52</v>
      </c>
      <c r="K2016" t="s">
        <v>108</v>
      </c>
      <c r="L2016" t="s">
        <v>28</v>
      </c>
    </row>
    <row r="2017" spans="1:12" ht="15.75" customHeight="1">
      <c r="B2017" t="s">
        <v>99</v>
      </c>
      <c r="C2017" s="2" t="s">
        <v>100</v>
      </c>
      <c r="D2017" t="s">
        <v>119</v>
      </c>
      <c r="E2017">
        <v>290</v>
      </c>
      <c r="F2017">
        <v>1</v>
      </c>
      <c r="G2017" s="32">
        <v>1</v>
      </c>
      <c r="H2017">
        <v>1</v>
      </c>
      <c r="J2017" t="s">
        <v>19</v>
      </c>
      <c r="K2017" t="s">
        <v>20</v>
      </c>
      <c r="L2017" t="s">
        <v>26</v>
      </c>
    </row>
    <row r="2018" spans="1:12" ht="15.75" customHeight="1">
      <c r="B2018" t="s">
        <v>99</v>
      </c>
      <c r="C2018" s="2" t="s">
        <v>100</v>
      </c>
      <c r="D2018" t="s">
        <v>119</v>
      </c>
      <c r="E2018">
        <v>290</v>
      </c>
      <c r="F2018">
        <v>2</v>
      </c>
      <c r="G2018" s="32">
        <v>2</v>
      </c>
      <c r="H2018">
        <v>2</v>
      </c>
      <c r="J2018" t="s">
        <v>52</v>
      </c>
      <c r="K2018" t="s">
        <v>108</v>
      </c>
      <c r="L2018" t="s">
        <v>28</v>
      </c>
    </row>
    <row r="2019" spans="1:12" ht="15.75" customHeight="1">
      <c r="B2019" t="s">
        <v>99</v>
      </c>
      <c r="C2019" s="2" t="s">
        <v>100</v>
      </c>
      <c r="D2019" t="s">
        <v>119</v>
      </c>
      <c r="E2019">
        <v>300</v>
      </c>
      <c r="F2019">
        <v>1</v>
      </c>
      <c r="G2019" s="32">
        <v>1</v>
      </c>
      <c r="H2019">
        <v>1</v>
      </c>
      <c r="J2019" t="s">
        <v>19</v>
      </c>
      <c r="K2019" t="s">
        <v>20</v>
      </c>
      <c r="L2019" t="s">
        <v>26</v>
      </c>
    </row>
    <row r="2020" spans="1:12" ht="15.75" customHeight="1">
      <c r="B2020" t="s">
        <v>99</v>
      </c>
      <c r="C2020" s="2" t="s">
        <v>100</v>
      </c>
      <c r="D2020" t="s">
        <v>119</v>
      </c>
      <c r="E2020">
        <v>300</v>
      </c>
      <c r="F2020">
        <v>2</v>
      </c>
      <c r="G2020" s="32">
        <v>0</v>
      </c>
      <c r="H2020">
        <v>0</v>
      </c>
      <c r="J2020" t="s">
        <v>120</v>
      </c>
      <c r="L2020" t="s">
        <v>28</v>
      </c>
    </row>
    <row r="2021" spans="1:12" ht="15.75" customHeight="1">
      <c r="D2021" t="s">
        <v>119</v>
      </c>
      <c r="E2021">
        <v>310</v>
      </c>
      <c r="F2021">
        <v>1</v>
      </c>
      <c r="H2021">
        <v>1</v>
      </c>
      <c r="J2021" t="s">
        <v>19</v>
      </c>
      <c r="K2021" t="s">
        <v>20</v>
      </c>
      <c r="L2021" t="s">
        <v>26</v>
      </c>
    </row>
    <row r="2022" spans="1:12" ht="15.75" customHeight="1">
      <c r="D2022" t="s">
        <v>119</v>
      </c>
      <c r="E2022">
        <v>310</v>
      </c>
      <c r="F2022">
        <v>2</v>
      </c>
      <c r="H2022">
        <v>2</v>
      </c>
      <c r="J2022" t="s">
        <v>121</v>
      </c>
      <c r="K2022" t="s">
        <v>31</v>
      </c>
      <c r="L2022" t="s">
        <v>28</v>
      </c>
    </row>
    <row r="2023" spans="1:12" ht="15.75" customHeight="1">
      <c r="B2023" t="s">
        <v>99</v>
      </c>
      <c r="C2023" s="2" t="s">
        <v>100</v>
      </c>
      <c r="D2023" t="s">
        <v>119</v>
      </c>
      <c r="E2023">
        <v>320</v>
      </c>
      <c r="F2023">
        <v>1</v>
      </c>
      <c r="G2023" s="32">
        <v>1</v>
      </c>
      <c r="H2023">
        <v>1</v>
      </c>
      <c r="J2023" t="s">
        <v>19</v>
      </c>
      <c r="K2023" t="s">
        <v>20</v>
      </c>
      <c r="L2023" t="s">
        <v>26</v>
      </c>
    </row>
    <row r="2024" spans="1:12" ht="15.75" customHeight="1">
      <c r="A2024" s="15"/>
      <c r="B2024" t="s">
        <v>99</v>
      </c>
      <c r="C2024" s="2" t="s">
        <v>100</v>
      </c>
      <c r="D2024" t="s">
        <v>119</v>
      </c>
      <c r="E2024" s="15">
        <v>320</v>
      </c>
      <c r="F2024">
        <v>2</v>
      </c>
      <c r="G2024" s="32">
        <v>3</v>
      </c>
      <c r="H2024" s="15">
        <v>0</v>
      </c>
      <c r="I2024" s="15"/>
      <c r="J2024" s="15" t="s">
        <v>46</v>
      </c>
      <c r="K2024" s="15"/>
      <c r="L2024" s="15"/>
    </row>
    <row r="2025" spans="1:12" ht="15.75" customHeight="1">
      <c r="A2025" s="15"/>
      <c r="B2025" t="s">
        <v>99</v>
      </c>
      <c r="C2025" s="2" t="s">
        <v>100</v>
      </c>
      <c r="D2025" t="s">
        <v>119</v>
      </c>
      <c r="E2025" s="15">
        <v>320</v>
      </c>
      <c r="F2025">
        <v>3</v>
      </c>
      <c r="G2025" s="32">
        <v>1</v>
      </c>
      <c r="H2025" s="15">
        <v>2</v>
      </c>
      <c r="I2025" s="15"/>
      <c r="J2025" s="15" t="s">
        <v>47</v>
      </c>
      <c r="K2025" s="15" t="s">
        <v>47</v>
      </c>
      <c r="L2025" s="15" t="s">
        <v>28</v>
      </c>
    </row>
    <row r="2026" spans="1:12" ht="15.75" customHeight="1">
      <c r="B2026" t="s">
        <v>99</v>
      </c>
      <c r="C2026" s="2" t="s">
        <v>100</v>
      </c>
      <c r="D2026" t="s">
        <v>119</v>
      </c>
      <c r="E2026">
        <v>330</v>
      </c>
      <c r="F2026">
        <v>1</v>
      </c>
      <c r="G2026" s="32">
        <v>1</v>
      </c>
      <c r="H2026">
        <v>1</v>
      </c>
      <c r="J2026" t="s">
        <v>19</v>
      </c>
      <c r="K2026" t="s">
        <v>20</v>
      </c>
      <c r="L2026" t="s">
        <v>26</v>
      </c>
    </row>
    <row r="2027" spans="1:12" ht="15.75" customHeight="1">
      <c r="B2027" t="s">
        <v>99</v>
      </c>
      <c r="C2027" s="2" t="s">
        <v>100</v>
      </c>
      <c r="D2027" t="s">
        <v>119</v>
      </c>
      <c r="E2027">
        <v>340</v>
      </c>
      <c r="F2027">
        <v>1</v>
      </c>
      <c r="G2027" s="32">
        <v>1</v>
      </c>
      <c r="H2027">
        <v>1</v>
      </c>
      <c r="J2027" t="s">
        <v>19</v>
      </c>
      <c r="K2027" t="s">
        <v>20</v>
      </c>
      <c r="L2027" t="s">
        <v>26</v>
      </c>
    </row>
    <row r="2028" spans="1:12" ht="15.75" customHeight="1">
      <c r="B2028" t="s">
        <v>99</v>
      </c>
      <c r="C2028" s="2" t="s">
        <v>100</v>
      </c>
      <c r="D2028" t="s">
        <v>119</v>
      </c>
      <c r="E2028">
        <v>340</v>
      </c>
      <c r="F2028">
        <v>2</v>
      </c>
      <c r="G2028" s="32">
        <v>3</v>
      </c>
      <c r="H2028">
        <v>0</v>
      </c>
      <c r="J2028" t="s">
        <v>46</v>
      </c>
    </row>
    <row r="2029" spans="1:12" ht="15.75" customHeight="1">
      <c r="D2029" t="s">
        <v>119</v>
      </c>
      <c r="E2029">
        <v>350</v>
      </c>
      <c r="F2029">
        <v>1</v>
      </c>
      <c r="H2029">
        <v>0</v>
      </c>
      <c r="J2029" t="s">
        <v>57</v>
      </c>
      <c r="L2029" t="s">
        <v>28</v>
      </c>
    </row>
    <row r="2030" spans="1:12" ht="15.75" customHeight="1">
      <c r="B2030" t="s">
        <v>99</v>
      </c>
      <c r="C2030" s="2" t="s">
        <v>100</v>
      </c>
      <c r="D2030" t="s">
        <v>119</v>
      </c>
      <c r="E2030">
        <v>360</v>
      </c>
      <c r="F2030">
        <v>1</v>
      </c>
      <c r="G2030" s="32">
        <v>2</v>
      </c>
      <c r="H2030">
        <v>1</v>
      </c>
      <c r="J2030" t="s">
        <v>19</v>
      </c>
      <c r="K2030" t="s">
        <v>20</v>
      </c>
      <c r="L2030" t="s">
        <v>26</v>
      </c>
    </row>
    <row r="2031" spans="1:12" ht="15.75" customHeight="1">
      <c r="B2031" t="s">
        <v>99</v>
      </c>
      <c r="C2031" s="2" t="s">
        <v>100</v>
      </c>
      <c r="D2031" t="s">
        <v>119</v>
      </c>
      <c r="E2031">
        <v>360</v>
      </c>
      <c r="F2031">
        <v>2</v>
      </c>
      <c r="G2031" s="32">
        <v>1</v>
      </c>
      <c r="H2031">
        <v>2</v>
      </c>
      <c r="J2031" t="s">
        <v>120</v>
      </c>
      <c r="K2031" t="s">
        <v>33</v>
      </c>
      <c r="L2031" t="s">
        <v>28</v>
      </c>
    </row>
    <row r="2032" spans="1:12" ht="15.75" customHeight="1">
      <c r="B2032" t="s">
        <v>99</v>
      </c>
      <c r="C2032" s="2" t="s">
        <v>100</v>
      </c>
      <c r="D2032" t="s">
        <v>119</v>
      </c>
      <c r="E2032">
        <v>370</v>
      </c>
      <c r="F2032">
        <v>1</v>
      </c>
      <c r="G2032" s="32">
        <v>1</v>
      </c>
      <c r="H2032">
        <v>1</v>
      </c>
      <c r="J2032" t="s">
        <v>19</v>
      </c>
      <c r="K2032" t="s">
        <v>20</v>
      </c>
      <c r="L2032" t="s">
        <v>26</v>
      </c>
    </row>
    <row r="2033" spans="2:12" ht="15.75" customHeight="1">
      <c r="B2033" t="s">
        <v>99</v>
      </c>
      <c r="C2033" s="2" t="s">
        <v>100</v>
      </c>
      <c r="D2033" t="s">
        <v>119</v>
      </c>
      <c r="E2033">
        <v>370</v>
      </c>
      <c r="F2033">
        <v>2</v>
      </c>
      <c r="G2033" s="32">
        <v>1</v>
      </c>
      <c r="H2033">
        <v>2</v>
      </c>
      <c r="J2033" t="s">
        <v>52</v>
      </c>
      <c r="K2033" t="s">
        <v>33</v>
      </c>
      <c r="L2033" t="s">
        <v>28</v>
      </c>
    </row>
    <row r="2034" spans="2:12" ht="15.75" customHeight="1">
      <c r="B2034" t="s">
        <v>99</v>
      </c>
      <c r="C2034" s="2" t="s">
        <v>100</v>
      </c>
      <c r="D2034" t="s">
        <v>119</v>
      </c>
      <c r="E2034">
        <v>380</v>
      </c>
      <c r="F2034">
        <v>1</v>
      </c>
      <c r="G2034" s="32">
        <v>1</v>
      </c>
      <c r="H2034">
        <v>1</v>
      </c>
      <c r="J2034" t="s">
        <v>19</v>
      </c>
      <c r="K2034" t="s">
        <v>20</v>
      </c>
      <c r="L2034" t="s">
        <v>26</v>
      </c>
    </row>
    <row r="2035" spans="2:12" ht="15.75" customHeight="1">
      <c r="B2035" t="s">
        <v>99</v>
      </c>
      <c r="C2035" s="2" t="s">
        <v>100</v>
      </c>
      <c r="D2035" t="s">
        <v>119</v>
      </c>
      <c r="E2035">
        <v>380</v>
      </c>
      <c r="F2035">
        <v>2</v>
      </c>
      <c r="G2035" s="32">
        <v>3</v>
      </c>
      <c r="H2035">
        <v>0</v>
      </c>
      <c r="J2035" t="s">
        <v>46</v>
      </c>
    </row>
    <row r="2036" spans="2:12" ht="15.75" customHeight="1">
      <c r="B2036" t="s">
        <v>99</v>
      </c>
      <c r="C2036" s="2" t="s">
        <v>100</v>
      </c>
      <c r="D2036" t="s">
        <v>119</v>
      </c>
      <c r="E2036">
        <v>380</v>
      </c>
      <c r="F2036">
        <v>3</v>
      </c>
      <c r="G2036" s="32">
        <v>1</v>
      </c>
      <c r="H2036">
        <v>1</v>
      </c>
      <c r="J2036" t="s">
        <v>52</v>
      </c>
      <c r="K2036" t="s">
        <v>108</v>
      </c>
      <c r="L2036" t="s">
        <v>28</v>
      </c>
    </row>
    <row r="2037" spans="2:12" ht="15.75" customHeight="1">
      <c r="B2037" t="s">
        <v>99</v>
      </c>
      <c r="C2037" s="2" t="s">
        <v>100</v>
      </c>
      <c r="D2037" t="s">
        <v>119</v>
      </c>
      <c r="E2037">
        <v>390</v>
      </c>
      <c r="F2037">
        <v>1</v>
      </c>
      <c r="G2037" s="32">
        <v>1</v>
      </c>
      <c r="H2037">
        <v>1</v>
      </c>
      <c r="J2037" t="s">
        <v>19</v>
      </c>
      <c r="K2037" t="s">
        <v>20</v>
      </c>
      <c r="L2037" t="s">
        <v>26</v>
      </c>
    </row>
    <row r="2038" spans="2:12" ht="15.75" customHeight="1">
      <c r="B2038" t="s">
        <v>99</v>
      </c>
      <c r="C2038" s="2" t="s">
        <v>100</v>
      </c>
      <c r="D2038" t="s">
        <v>119</v>
      </c>
      <c r="E2038">
        <v>390</v>
      </c>
      <c r="F2038">
        <v>2</v>
      </c>
      <c r="G2038" s="32">
        <v>1</v>
      </c>
      <c r="H2038">
        <v>1</v>
      </c>
      <c r="J2038" t="s">
        <v>52</v>
      </c>
      <c r="K2038" t="s">
        <v>108</v>
      </c>
      <c r="L2038" t="s">
        <v>28</v>
      </c>
    </row>
    <row r="2039" spans="2:12" ht="15.75" customHeight="1">
      <c r="B2039" t="s">
        <v>99</v>
      </c>
      <c r="C2039" s="2" t="s">
        <v>100</v>
      </c>
      <c r="D2039" t="s">
        <v>119</v>
      </c>
      <c r="E2039">
        <v>400</v>
      </c>
      <c r="F2039">
        <v>1</v>
      </c>
      <c r="G2039" s="32">
        <v>1</v>
      </c>
      <c r="H2039">
        <v>1</v>
      </c>
      <c r="J2039" t="s">
        <v>19</v>
      </c>
      <c r="K2039" t="s">
        <v>20</v>
      </c>
      <c r="L2039" t="s">
        <v>26</v>
      </c>
    </row>
    <row r="2040" spans="2:12" ht="15.75" customHeight="1">
      <c r="B2040" t="s">
        <v>99</v>
      </c>
      <c r="C2040" s="2" t="s">
        <v>100</v>
      </c>
      <c r="D2040" t="s">
        <v>119</v>
      </c>
      <c r="E2040">
        <v>400</v>
      </c>
      <c r="F2040">
        <v>2</v>
      </c>
      <c r="G2040" s="32">
        <v>0</v>
      </c>
      <c r="H2040">
        <v>0</v>
      </c>
      <c r="J2040" t="s">
        <v>52</v>
      </c>
      <c r="L2040" t="s">
        <v>28</v>
      </c>
    </row>
    <row r="2041" spans="2:12" ht="15.75" customHeight="1">
      <c r="B2041" t="s">
        <v>99</v>
      </c>
      <c r="C2041" s="2" t="s">
        <v>100</v>
      </c>
      <c r="D2041" t="s">
        <v>119</v>
      </c>
      <c r="E2041">
        <v>410</v>
      </c>
      <c r="F2041">
        <v>1</v>
      </c>
      <c r="G2041" s="32">
        <v>1</v>
      </c>
      <c r="H2041">
        <v>1</v>
      </c>
      <c r="J2041" t="s">
        <v>19</v>
      </c>
      <c r="K2041" t="s">
        <v>20</v>
      </c>
      <c r="L2041" t="s">
        <v>26</v>
      </c>
    </row>
    <row r="2042" spans="2:12" ht="15.75" customHeight="1">
      <c r="B2042" t="s">
        <v>99</v>
      </c>
      <c r="C2042" s="2" t="s">
        <v>100</v>
      </c>
      <c r="D2042" t="s">
        <v>119</v>
      </c>
      <c r="E2042">
        <v>410</v>
      </c>
      <c r="F2042">
        <v>2</v>
      </c>
      <c r="G2042" s="32">
        <v>0</v>
      </c>
      <c r="H2042">
        <v>0</v>
      </c>
      <c r="J2042" t="s">
        <v>52</v>
      </c>
      <c r="L2042" t="s">
        <v>28</v>
      </c>
    </row>
    <row r="2043" spans="2:12" ht="15.75" customHeight="1">
      <c r="B2043" t="s">
        <v>99</v>
      </c>
      <c r="C2043" s="2" t="s">
        <v>100</v>
      </c>
      <c r="D2043" t="s">
        <v>119</v>
      </c>
      <c r="E2043">
        <v>420</v>
      </c>
      <c r="F2043">
        <v>1</v>
      </c>
      <c r="G2043" s="32">
        <v>1</v>
      </c>
      <c r="H2043">
        <v>1</v>
      </c>
      <c r="J2043" t="s">
        <v>19</v>
      </c>
      <c r="K2043" t="s">
        <v>20</v>
      </c>
      <c r="L2043" t="s">
        <v>26</v>
      </c>
    </row>
    <row r="2044" spans="2:12" ht="15.75" customHeight="1">
      <c r="B2044" t="s">
        <v>99</v>
      </c>
      <c r="C2044" s="2" t="s">
        <v>100</v>
      </c>
      <c r="D2044" t="s">
        <v>119</v>
      </c>
      <c r="E2044">
        <v>420</v>
      </c>
      <c r="F2044">
        <v>2</v>
      </c>
      <c r="G2044" s="32">
        <v>1</v>
      </c>
      <c r="H2044">
        <v>2</v>
      </c>
      <c r="J2044" t="s">
        <v>52</v>
      </c>
      <c r="K2044" t="s">
        <v>33</v>
      </c>
      <c r="L2044" t="s">
        <v>28</v>
      </c>
    </row>
    <row r="2045" spans="2:12" ht="15.75" customHeight="1">
      <c r="D2045" t="s">
        <v>119</v>
      </c>
      <c r="E2045">
        <v>430</v>
      </c>
      <c r="F2045">
        <v>0</v>
      </c>
    </row>
    <row r="2046" spans="2:12" ht="15.75" customHeight="1">
      <c r="B2046" t="s">
        <v>99</v>
      </c>
      <c r="C2046" s="2" t="s">
        <v>100</v>
      </c>
      <c r="D2046" t="s">
        <v>119</v>
      </c>
      <c r="E2046">
        <v>440</v>
      </c>
      <c r="F2046">
        <v>1</v>
      </c>
      <c r="G2046" s="32">
        <v>1</v>
      </c>
      <c r="H2046">
        <v>1</v>
      </c>
      <c r="J2046" t="s">
        <v>19</v>
      </c>
      <c r="K2046" t="s">
        <v>20</v>
      </c>
      <c r="L2046" t="s">
        <v>26</v>
      </c>
    </row>
    <row r="2047" spans="2:12" ht="15.75" customHeight="1">
      <c r="B2047" t="s">
        <v>99</v>
      </c>
      <c r="C2047" s="2" t="s">
        <v>100</v>
      </c>
      <c r="D2047" t="s">
        <v>119</v>
      </c>
      <c r="E2047">
        <v>440</v>
      </c>
      <c r="F2047">
        <v>2</v>
      </c>
      <c r="G2047" s="32">
        <v>2</v>
      </c>
      <c r="H2047">
        <v>2</v>
      </c>
      <c r="J2047" t="s">
        <v>52</v>
      </c>
      <c r="K2047" t="s">
        <v>33</v>
      </c>
      <c r="L2047" t="s">
        <v>28</v>
      </c>
    </row>
    <row r="2048" spans="2:12" ht="15.75" customHeight="1">
      <c r="D2048" t="s">
        <v>119</v>
      </c>
      <c r="E2048">
        <v>450</v>
      </c>
      <c r="F2048">
        <v>1</v>
      </c>
      <c r="H2048">
        <v>2</v>
      </c>
      <c r="J2048" t="s">
        <v>53</v>
      </c>
      <c r="K2048" t="s">
        <v>31</v>
      </c>
      <c r="L2048" t="s">
        <v>28</v>
      </c>
    </row>
    <row r="2049" spans="2:12" ht="15.75" customHeight="1">
      <c r="D2049" t="s">
        <v>119</v>
      </c>
      <c r="E2049">
        <v>460</v>
      </c>
      <c r="F2049">
        <v>1</v>
      </c>
      <c r="H2049">
        <v>1</v>
      </c>
      <c r="J2049" t="s">
        <v>19</v>
      </c>
      <c r="K2049" t="s">
        <v>20</v>
      </c>
      <c r="L2049" t="s">
        <v>26</v>
      </c>
    </row>
    <row r="2050" spans="2:12" ht="15.75" customHeight="1">
      <c r="B2050" t="s">
        <v>99</v>
      </c>
      <c r="C2050" s="2" t="s">
        <v>100</v>
      </c>
      <c r="D2050" t="s">
        <v>119</v>
      </c>
      <c r="E2050">
        <v>470</v>
      </c>
      <c r="F2050">
        <v>1</v>
      </c>
      <c r="G2050" s="32">
        <v>1</v>
      </c>
      <c r="H2050">
        <v>1</v>
      </c>
      <c r="J2050" t="s">
        <v>19</v>
      </c>
      <c r="K2050" t="s">
        <v>20</v>
      </c>
      <c r="L2050" t="s">
        <v>26</v>
      </c>
    </row>
    <row r="2051" spans="2:12" ht="15.75" customHeight="1">
      <c r="B2051" t="s">
        <v>99</v>
      </c>
      <c r="C2051" s="2" t="s">
        <v>100</v>
      </c>
      <c r="D2051" t="s">
        <v>119</v>
      </c>
      <c r="E2051">
        <v>480</v>
      </c>
      <c r="F2051">
        <v>1</v>
      </c>
      <c r="G2051" s="32" t="s">
        <v>50</v>
      </c>
      <c r="I2051" t="s">
        <v>51</v>
      </c>
    </row>
    <row r="2052" spans="2:12" ht="15.75" customHeight="1">
      <c r="B2052" t="s">
        <v>99</v>
      </c>
      <c r="C2052" s="2" t="s">
        <v>100</v>
      </c>
      <c r="D2052" t="s">
        <v>119</v>
      </c>
      <c r="E2052">
        <v>490</v>
      </c>
      <c r="F2052">
        <v>1</v>
      </c>
      <c r="G2052" s="32" t="s">
        <v>50</v>
      </c>
      <c r="I2052" t="s">
        <v>51</v>
      </c>
    </row>
    <row r="2053" spans="2:12" ht="15.75" customHeight="1">
      <c r="B2053" t="s">
        <v>99</v>
      </c>
      <c r="C2053" s="2" t="s">
        <v>100</v>
      </c>
      <c r="D2053" t="s">
        <v>119</v>
      </c>
      <c r="E2053">
        <v>500</v>
      </c>
      <c r="F2053">
        <v>1</v>
      </c>
      <c r="G2053" s="32" t="s">
        <v>50</v>
      </c>
      <c r="I2053" t="s">
        <v>51</v>
      </c>
    </row>
    <row r="2054" spans="2:12" ht="15.75" customHeight="1">
      <c r="B2054" t="s">
        <v>99</v>
      </c>
      <c r="C2054" s="2" t="s">
        <v>100</v>
      </c>
      <c r="D2054" t="s">
        <v>119</v>
      </c>
      <c r="E2054">
        <v>510</v>
      </c>
      <c r="F2054">
        <v>1</v>
      </c>
      <c r="G2054" s="32" t="s">
        <v>50</v>
      </c>
      <c r="I2054" t="s">
        <v>51</v>
      </c>
    </row>
    <row r="2055" spans="2:12" ht="15.75" customHeight="1">
      <c r="B2055" t="s">
        <v>99</v>
      </c>
      <c r="C2055" s="2" t="s">
        <v>100</v>
      </c>
      <c r="D2055" t="s">
        <v>119</v>
      </c>
      <c r="E2055">
        <v>520</v>
      </c>
      <c r="F2055">
        <v>1</v>
      </c>
      <c r="G2055" s="32" t="s">
        <v>50</v>
      </c>
      <c r="I2055" t="s">
        <v>51</v>
      </c>
    </row>
    <row r="2056" spans="2:12" ht="15.75" customHeight="1">
      <c r="B2056" t="s">
        <v>99</v>
      </c>
      <c r="C2056" s="2" t="s">
        <v>100</v>
      </c>
      <c r="D2056" t="s">
        <v>119</v>
      </c>
      <c r="E2056">
        <v>530</v>
      </c>
      <c r="F2056">
        <v>1</v>
      </c>
      <c r="G2056" s="32" t="s">
        <v>50</v>
      </c>
      <c r="I2056" t="s">
        <v>51</v>
      </c>
    </row>
    <row r="2057" spans="2:12" ht="15.75" customHeight="1">
      <c r="B2057" t="s">
        <v>99</v>
      </c>
      <c r="C2057" s="2" t="s">
        <v>100</v>
      </c>
      <c r="D2057" t="s">
        <v>119</v>
      </c>
      <c r="E2057">
        <v>540</v>
      </c>
      <c r="F2057">
        <v>1</v>
      </c>
      <c r="G2057" s="32" t="s">
        <v>50</v>
      </c>
      <c r="I2057" t="s">
        <v>51</v>
      </c>
    </row>
    <row r="2058" spans="2:12" ht="15.75" customHeight="1">
      <c r="B2058" t="s">
        <v>99</v>
      </c>
      <c r="C2058" s="2" t="s">
        <v>100</v>
      </c>
      <c r="D2058" t="s">
        <v>119</v>
      </c>
      <c r="E2058">
        <v>550</v>
      </c>
      <c r="F2058">
        <v>1</v>
      </c>
      <c r="G2058" s="32" t="s">
        <v>50</v>
      </c>
      <c r="I2058" t="s">
        <v>51</v>
      </c>
    </row>
    <row r="2059" spans="2:12" ht="15.75" customHeight="1">
      <c r="D2059" t="s">
        <v>119</v>
      </c>
      <c r="E2059">
        <v>560</v>
      </c>
      <c r="F2059">
        <v>0</v>
      </c>
    </row>
    <row r="2060" spans="2:12" ht="15.75" customHeight="1">
      <c r="D2060" t="s">
        <v>119</v>
      </c>
      <c r="E2060">
        <v>570</v>
      </c>
      <c r="F2060">
        <v>1</v>
      </c>
      <c r="H2060">
        <v>0</v>
      </c>
      <c r="J2060" t="s">
        <v>53</v>
      </c>
      <c r="L2060" t="s">
        <v>28</v>
      </c>
    </row>
    <row r="2061" spans="2:12" ht="15.75" customHeight="1">
      <c r="D2061" t="s">
        <v>119</v>
      </c>
      <c r="E2061">
        <v>580</v>
      </c>
      <c r="F2061">
        <v>1</v>
      </c>
      <c r="H2061">
        <v>0</v>
      </c>
      <c r="J2061" t="s">
        <v>53</v>
      </c>
      <c r="L2061" t="s">
        <v>28</v>
      </c>
    </row>
    <row r="2062" spans="2:12" ht="15.75" customHeight="1">
      <c r="D2062" t="s">
        <v>119</v>
      </c>
      <c r="E2062">
        <v>590</v>
      </c>
      <c r="F2062">
        <v>1</v>
      </c>
      <c r="H2062">
        <v>2</v>
      </c>
      <c r="J2062" t="s">
        <v>53</v>
      </c>
      <c r="K2062" t="s">
        <v>31</v>
      </c>
      <c r="L2062" t="s">
        <v>28</v>
      </c>
    </row>
    <row r="2063" spans="2:12" ht="15.75" customHeight="1">
      <c r="D2063" t="s">
        <v>119</v>
      </c>
      <c r="E2063">
        <v>600</v>
      </c>
      <c r="F2063">
        <v>1</v>
      </c>
      <c r="H2063">
        <v>0</v>
      </c>
      <c r="J2063" t="s">
        <v>53</v>
      </c>
      <c r="L2063" t="s">
        <v>28</v>
      </c>
    </row>
    <row r="2064" spans="2:12" ht="15.75" customHeight="1">
      <c r="D2064" t="s">
        <v>119</v>
      </c>
      <c r="E2064">
        <v>610</v>
      </c>
      <c r="F2064">
        <v>0</v>
      </c>
    </row>
    <row r="2065" spans="2:12" ht="15.75" customHeight="1">
      <c r="D2065" t="s">
        <v>119</v>
      </c>
      <c r="E2065">
        <v>620</v>
      </c>
      <c r="F2065">
        <v>1</v>
      </c>
      <c r="H2065">
        <v>2</v>
      </c>
      <c r="J2065" t="s">
        <v>105</v>
      </c>
      <c r="K2065" t="s">
        <v>105</v>
      </c>
      <c r="L2065" t="s">
        <v>28</v>
      </c>
    </row>
    <row r="2066" spans="2:12" ht="15.75" customHeight="1">
      <c r="D2066" t="s">
        <v>119</v>
      </c>
      <c r="E2066">
        <v>630</v>
      </c>
      <c r="F2066">
        <v>1</v>
      </c>
      <c r="H2066">
        <v>2</v>
      </c>
      <c r="J2066" t="s">
        <v>22</v>
      </c>
      <c r="K2066" t="s">
        <v>122</v>
      </c>
      <c r="L2066" t="s">
        <v>28</v>
      </c>
    </row>
    <row r="2067" spans="2:12" ht="15.75" customHeight="1">
      <c r="B2067" t="s">
        <v>99</v>
      </c>
      <c r="C2067" s="2" t="s">
        <v>100</v>
      </c>
      <c r="D2067" t="s">
        <v>119</v>
      </c>
      <c r="E2067">
        <v>640</v>
      </c>
      <c r="F2067">
        <v>1</v>
      </c>
      <c r="G2067" s="32" t="s">
        <v>50</v>
      </c>
      <c r="I2067" t="s">
        <v>51</v>
      </c>
    </row>
    <row r="2068" spans="2:12" ht="15.75" customHeight="1">
      <c r="B2068" t="s">
        <v>99</v>
      </c>
      <c r="C2068" s="2" t="s">
        <v>100</v>
      </c>
      <c r="D2068" t="s">
        <v>119</v>
      </c>
      <c r="E2068">
        <v>650</v>
      </c>
      <c r="F2068">
        <v>1</v>
      </c>
      <c r="G2068" s="32" t="s">
        <v>50</v>
      </c>
      <c r="I2068" t="s">
        <v>51</v>
      </c>
    </row>
    <row r="2069" spans="2:12" ht="15.75" customHeight="1">
      <c r="D2069" t="s">
        <v>119</v>
      </c>
      <c r="E2069">
        <v>660</v>
      </c>
      <c r="F2069">
        <v>0</v>
      </c>
    </row>
    <row r="2070" spans="2:12" ht="15.75" customHeight="1">
      <c r="B2070" t="s">
        <v>99</v>
      </c>
      <c r="C2070" s="2" t="s">
        <v>100</v>
      </c>
      <c r="D2070" t="s">
        <v>119</v>
      </c>
      <c r="E2070">
        <v>670</v>
      </c>
      <c r="F2070">
        <v>1</v>
      </c>
      <c r="G2070" s="32" t="s">
        <v>50</v>
      </c>
      <c r="I2070" t="s">
        <v>51</v>
      </c>
    </row>
    <row r="2071" spans="2:12" ht="15.75" customHeight="1">
      <c r="B2071" t="s">
        <v>99</v>
      </c>
      <c r="C2071" s="2" t="s">
        <v>100</v>
      </c>
      <c r="D2071" t="s">
        <v>119</v>
      </c>
      <c r="E2071">
        <v>680</v>
      </c>
      <c r="F2071">
        <v>1</v>
      </c>
      <c r="G2071" s="32" t="s">
        <v>50</v>
      </c>
      <c r="I2071" t="s">
        <v>51</v>
      </c>
    </row>
    <row r="2072" spans="2:12" ht="15.75" customHeight="1">
      <c r="B2072" t="s">
        <v>99</v>
      </c>
      <c r="C2072" s="2" t="s">
        <v>100</v>
      </c>
      <c r="D2072" t="s">
        <v>119</v>
      </c>
      <c r="E2072">
        <v>690</v>
      </c>
      <c r="F2072">
        <v>1</v>
      </c>
      <c r="G2072" s="32" t="s">
        <v>50</v>
      </c>
      <c r="I2072" t="s">
        <v>51</v>
      </c>
    </row>
    <row r="2073" spans="2:12" ht="15.75" customHeight="1">
      <c r="D2073" t="s">
        <v>119</v>
      </c>
      <c r="E2073">
        <v>700</v>
      </c>
      <c r="F2073">
        <v>0</v>
      </c>
    </row>
    <row r="2074" spans="2:12" ht="15.75" customHeight="1">
      <c r="D2074" t="s">
        <v>119</v>
      </c>
      <c r="E2074">
        <v>710</v>
      </c>
      <c r="F2074">
        <v>1</v>
      </c>
      <c r="H2074">
        <v>0</v>
      </c>
      <c r="J2074" t="s">
        <v>53</v>
      </c>
      <c r="L2074" t="s">
        <v>28</v>
      </c>
    </row>
    <row r="2075" spans="2:12" ht="15.75" customHeight="1">
      <c r="D2075" t="s">
        <v>119</v>
      </c>
      <c r="E2075">
        <v>720</v>
      </c>
      <c r="F2075">
        <v>0</v>
      </c>
    </row>
    <row r="2076" spans="2:12" ht="15.75" customHeight="1">
      <c r="B2076" t="s">
        <v>99</v>
      </c>
      <c r="C2076" s="2" t="s">
        <v>100</v>
      </c>
      <c r="D2076" t="s">
        <v>119</v>
      </c>
      <c r="E2076">
        <v>730</v>
      </c>
      <c r="F2076">
        <v>1</v>
      </c>
      <c r="G2076" s="32" t="s">
        <v>50</v>
      </c>
      <c r="I2076" t="s">
        <v>51</v>
      </c>
    </row>
    <row r="2077" spans="2:12" ht="15.75" customHeight="1">
      <c r="D2077" t="s">
        <v>119</v>
      </c>
      <c r="E2077">
        <v>740</v>
      </c>
      <c r="F2077">
        <v>1</v>
      </c>
      <c r="H2077">
        <v>2</v>
      </c>
      <c r="J2077" t="s">
        <v>53</v>
      </c>
      <c r="K2077" t="s">
        <v>31</v>
      </c>
      <c r="L2077" t="s">
        <v>28</v>
      </c>
    </row>
    <row r="2078" spans="2:12" ht="15.75" customHeight="1">
      <c r="B2078" t="s">
        <v>99</v>
      </c>
      <c r="C2078" s="2" t="s">
        <v>100</v>
      </c>
      <c r="D2078" t="s">
        <v>119</v>
      </c>
      <c r="E2078">
        <v>750</v>
      </c>
      <c r="F2078">
        <v>1</v>
      </c>
      <c r="G2078" s="32" t="s">
        <v>50</v>
      </c>
      <c r="I2078" t="s">
        <v>51</v>
      </c>
    </row>
    <row r="2079" spans="2:12" ht="15.75" customHeight="1">
      <c r="B2079" t="s">
        <v>99</v>
      </c>
      <c r="C2079" s="2" t="s">
        <v>100</v>
      </c>
      <c r="D2079" t="s">
        <v>119</v>
      </c>
      <c r="E2079">
        <v>760</v>
      </c>
      <c r="F2079">
        <v>1</v>
      </c>
      <c r="G2079" s="32" t="s">
        <v>50</v>
      </c>
      <c r="I2079" t="s">
        <v>51</v>
      </c>
    </row>
    <row r="2080" spans="2:12" ht="15.75" customHeight="1">
      <c r="B2080" t="s">
        <v>99</v>
      </c>
      <c r="C2080" s="2" t="s">
        <v>100</v>
      </c>
      <c r="D2080" t="s">
        <v>119</v>
      </c>
      <c r="E2080">
        <v>770</v>
      </c>
      <c r="F2080">
        <v>1</v>
      </c>
      <c r="G2080" s="32" t="s">
        <v>50</v>
      </c>
      <c r="I2080" t="s">
        <v>51</v>
      </c>
    </row>
    <row r="2081" spans="2:12" ht="15.75" customHeight="1">
      <c r="D2081" t="s">
        <v>119</v>
      </c>
      <c r="E2081">
        <v>780</v>
      </c>
      <c r="I2081" t="s">
        <v>123</v>
      </c>
    </row>
    <row r="2082" spans="2:12" ht="15.75" customHeight="1">
      <c r="D2082" t="s">
        <v>119</v>
      </c>
      <c r="E2082">
        <v>790</v>
      </c>
      <c r="I2082" t="s">
        <v>123</v>
      </c>
    </row>
    <row r="2083" spans="2:12" ht="15.75" customHeight="1">
      <c r="B2083" t="s">
        <v>99</v>
      </c>
      <c r="C2083" s="2" t="s">
        <v>100</v>
      </c>
      <c r="D2083" t="s">
        <v>119</v>
      </c>
      <c r="E2083">
        <v>800</v>
      </c>
      <c r="F2083">
        <v>1</v>
      </c>
      <c r="G2083" s="32" t="s">
        <v>50</v>
      </c>
      <c r="I2083" t="s">
        <v>51</v>
      </c>
    </row>
    <row r="2084" spans="2:12" ht="15.75" customHeight="1">
      <c r="B2084" t="s">
        <v>99</v>
      </c>
      <c r="C2084" s="2" t="s">
        <v>100</v>
      </c>
      <c r="D2084" t="s">
        <v>119</v>
      </c>
      <c r="E2084">
        <v>810</v>
      </c>
      <c r="F2084">
        <v>1</v>
      </c>
      <c r="G2084" s="32" t="s">
        <v>50</v>
      </c>
      <c r="I2084" t="s">
        <v>51</v>
      </c>
    </row>
    <row r="2085" spans="2:12" ht="15.75" customHeight="1">
      <c r="D2085" t="s">
        <v>119</v>
      </c>
      <c r="E2085">
        <v>820</v>
      </c>
      <c r="F2085">
        <v>1</v>
      </c>
      <c r="H2085">
        <v>1</v>
      </c>
      <c r="J2085" t="s">
        <v>19</v>
      </c>
      <c r="K2085" t="s">
        <v>20</v>
      </c>
      <c r="L2085" t="s">
        <v>26</v>
      </c>
    </row>
    <row r="2086" spans="2:12" ht="15.75" customHeight="1">
      <c r="D2086" t="s">
        <v>119</v>
      </c>
      <c r="E2086">
        <v>830</v>
      </c>
      <c r="F2086">
        <v>0</v>
      </c>
    </row>
    <row r="2087" spans="2:12" ht="15.75" customHeight="1">
      <c r="D2087" t="s">
        <v>119</v>
      </c>
      <c r="E2087">
        <v>840</v>
      </c>
      <c r="F2087">
        <v>1</v>
      </c>
      <c r="H2087">
        <v>2</v>
      </c>
      <c r="J2087" t="s">
        <v>53</v>
      </c>
      <c r="K2087" t="s">
        <v>31</v>
      </c>
      <c r="L2087" t="s">
        <v>28</v>
      </c>
    </row>
    <row r="2088" spans="2:12" ht="15.75" customHeight="1">
      <c r="D2088" t="s">
        <v>119</v>
      </c>
      <c r="E2088">
        <v>850</v>
      </c>
      <c r="I2088" t="s">
        <v>56</v>
      </c>
    </row>
    <row r="2089" spans="2:12" ht="15.75" customHeight="1">
      <c r="D2089" t="s">
        <v>119</v>
      </c>
      <c r="E2089">
        <v>860</v>
      </c>
      <c r="I2089" t="s">
        <v>56</v>
      </c>
    </row>
    <row r="2090" spans="2:12" ht="15.75" customHeight="1">
      <c r="D2090" t="s">
        <v>119</v>
      </c>
      <c r="E2090">
        <v>870</v>
      </c>
      <c r="I2090" t="s">
        <v>56</v>
      </c>
    </row>
    <row r="2091" spans="2:12" ht="15.75" customHeight="1">
      <c r="D2091" t="s">
        <v>119</v>
      </c>
      <c r="E2091">
        <v>880</v>
      </c>
      <c r="I2091" t="s">
        <v>56</v>
      </c>
    </row>
    <row r="2092" spans="2:12" ht="15.75" customHeight="1">
      <c r="B2092" t="s">
        <v>99</v>
      </c>
      <c r="C2092" s="2" t="s">
        <v>100</v>
      </c>
      <c r="D2092" t="s">
        <v>119</v>
      </c>
      <c r="E2092">
        <v>890</v>
      </c>
      <c r="F2092">
        <v>1</v>
      </c>
      <c r="G2092" s="32" t="s">
        <v>50</v>
      </c>
      <c r="I2092" t="s">
        <v>51</v>
      </c>
    </row>
    <row r="2093" spans="2:12" ht="15.75" customHeight="1">
      <c r="B2093" t="s">
        <v>99</v>
      </c>
      <c r="C2093" s="2" t="s">
        <v>100</v>
      </c>
      <c r="D2093" t="s">
        <v>119</v>
      </c>
      <c r="E2093">
        <v>900</v>
      </c>
      <c r="F2093">
        <v>1</v>
      </c>
      <c r="G2093" s="32" t="s">
        <v>50</v>
      </c>
      <c r="I2093" t="s">
        <v>51</v>
      </c>
    </row>
    <row r="2094" spans="2:12" ht="15.75" customHeight="1">
      <c r="B2094" t="s">
        <v>99</v>
      </c>
      <c r="C2094" s="2" t="s">
        <v>100</v>
      </c>
      <c r="D2094" t="s">
        <v>119</v>
      </c>
      <c r="E2094">
        <v>910</v>
      </c>
      <c r="F2094">
        <v>1</v>
      </c>
      <c r="G2094" s="32" t="s">
        <v>50</v>
      </c>
      <c r="I2094" t="s">
        <v>51</v>
      </c>
    </row>
    <row r="2095" spans="2:12" ht="15.75" customHeight="1">
      <c r="B2095" t="s">
        <v>99</v>
      </c>
      <c r="C2095" s="2" t="s">
        <v>100</v>
      </c>
      <c r="D2095" t="s">
        <v>119</v>
      </c>
      <c r="E2095">
        <v>920</v>
      </c>
      <c r="F2095">
        <v>1</v>
      </c>
      <c r="G2095" s="32" t="s">
        <v>50</v>
      </c>
      <c r="I2095" t="s">
        <v>51</v>
      </c>
    </row>
    <row r="2096" spans="2:12" ht="15.75" customHeight="1">
      <c r="D2096" t="s">
        <v>119</v>
      </c>
      <c r="E2096">
        <v>930</v>
      </c>
      <c r="I2096" t="s">
        <v>123</v>
      </c>
    </row>
    <row r="2097" spans="2:9" ht="15.75" customHeight="1">
      <c r="D2097" t="s">
        <v>119</v>
      </c>
      <c r="E2097">
        <v>940</v>
      </c>
      <c r="I2097" t="s">
        <v>123</v>
      </c>
    </row>
    <row r="2098" spans="2:9" ht="15.75" customHeight="1">
      <c r="B2098" t="s">
        <v>99</v>
      </c>
      <c r="C2098" s="2" t="s">
        <v>100</v>
      </c>
      <c r="D2098" t="s">
        <v>119</v>
      </c>
      <c r="E2098">
        <v>950</v>
      </c>
      <c r="F2098">
        <v>1</v>
      </c>
      <c r="G2098" s="32" t="s">
        <v>50</v>
      </c>
      <c r="I2098" t="s">
        <v>51</v>
      </c>
    </row>
    <row r="2099" spans="2:9" ht="15.75" customHeight="1">
      <c r="B2099" t="s">
        <v>99</v>
      </c>
      <c r="C2099" s="2" t="s">
        <v>100</v>
      </c>
      <c r="D2099" t="s">
        <v>119</v>
      </c>
      <c r="E2099">
        <v>960</v>
      </c>
      <c r="F2099">
        <v>1</v>
      </c>
      <c r="G2099" s="32" t="s">
        <v>50</v>
      </c>
      <c r="I2099" t="s">
        <v>51</v>
      </c>
    </row>
    <row r="2100" spans="2:9" ht="15.75" customHeight="1">
      <c r="D2100" t="s">
        <v>119</v>
      </c>
      <c r="E2100">
        <v>970</v>
      </c>
      <c r="I2100" t="s">
        <v>123</v>
      </c>
    </row>
    <row r="2101" spans="2:9" ht="15.75" customHeight="1">
      <c r="B2101" t="s">
        <v>99</v>
      </c>
      <c r="C2101" s="2" t="s">
        <v>100</v>
      </c>
      <c r="D2101" t="s">
        <v>119</v>
      </c>
      <c r="E2101">
        <v>980</v>
      </c>
      <c r="F2101">
        <v>1</v>
      </c>
      <c r="G2101" s="32" t="s">
        <v>50</v>
      </c>
      <c r="I2101" t="s">
        <v>51</v>
      </c>
    </row>
    <row r="2102" spans="2:9" ht="15.75" customHeight="1">
      <c r="D2102" t="s">
        <v>119</v>
      </c>
      <c r="E2102">
        <v>990</v>
      </c>
      <c r="I2102" t="s">
        <v>123</v>
      </c>
    </row>
    <row r="2103" spans="2:9" ht="15.75" customHeight="1">
      <c r="D2103" t="s">
        <v>119</v>
      </c>
      <c r="E2103">
        <v>1000</v>
      </c>
      <c r="I2103" t="s">
        <v>56</v>
      </c>
    </row>
    <row r="2104" spans="2:9" ht="15.75" customHeight="1">
      <c r="B2104" t="s">
        <v>99</v>
      </c>
      <c r="C2104" s="2" t="s">
        <v>100</v>
      </c>
      <c r="D2104" t="s">
        <v>119</v>
      </c>
      <c r="E2104">
        <v>1010</v>
      </c>
      <c r="F2104">
        <v>1</v>
      </c>
      <c r="G2104" s="32" t="s">
        <v>50</v>
      </c>
      <c r="I2104" t="s">
        <v>51</v>
      </c>
    </row>
    <row r="2105" spans="2:9" ht="15.75" customHeight="1">
      <c r="B2105" t="s">
        <v>99</v>
      </c>
      <c r="C2105" s="2" t="s">
        <v>100</v>
      </c>
      <c r="D2105" t="s">
        <v>119</v>
      </c>
      <c r="E2105">
        <v>1020</v>
      </c>
      <c r="F2105">
        <v>1</v>
      </c>
      <c r="G2105" s="32" t="s">
        <v>50</v>
      </c>
      <c r="I2105" t="s">
        <v>51</v>
      </c>
    </row>
    <row r="2106" spans="2:9" ht="15.75" customHeight="1">
      <c r="B2106" t="s">
        <v>99</v>
      </c>
      <c r="C2106" s="2" t="s">
        <v>100</v>
      </c>
      <c r="D2106" t="s">
        <v>119</v>
      </c>
      <c r="E2106">
        <v>1030</v>
      </c>
      <c r="F2106">
        <v>1</v>
      </c>
      <c r="G2106" s="32" t="s">
        <v>50</v>
      </c>
      <c r="I2106" t="s">
        <v>51</v>
      </c>
    </row>
    <row r="2107" spans="2:9" ht="15.75" customHeight="1">
      <c r="D2107" t="s">
        <v>119</v>
      </c>
      <c r="E2107">
        <v>1040</v>
      </c>
      <c r="I2107" t="s">
        <v>56</v>
      </c>
    </row>
    <row r="2108" spans="2:9" ht="15.75" customHeight="1">
      <c r="B2108" t="s">
        <v>99</v>
      </c>
      <c r="C2108" s="2" t="s">
        <v>100</v>
      </c>
      <c r="D2108" t="s">
        <v>119</v>
      </c>
      <c r="E2108">
        <v>1050</v>
      </c>
      <c r="F2108">
        <v>1</v>
      </c>
      <c r="G2108" s="32" t="s">
        <v>50</v>
      </c>
      <c r="I2108" t="s">
        <v>51</v>
      </c>
    </row>
    <row r="2109" spans="2:9" ht="15.75" customHeight="1">
      <c r="D2109" t="s">
        <v>119</v>
      </c>
      <c r="E2109">
        <v>1060</v>
      </c>
      <c r="I2109" t="s">
        <v>56</v>
      </c>
    </row>
    <row r="2110" spans="2:9" ht="15.75" customHeight="1">
      <c r="D2110" t="s">
        <v>119</v>
      </c>
      <c r="E2110">
        <v>1070</v>
      </c>
      <c r="I2110" t="s">
        <v>56</v>
      </c>
    </row>
    <row r="2111" spans="2:9" ht="15.75" customHeight="1">
      <c r="D2111" t="s">
        <v>119</v>
      </c>
      <c r="E2111">
        <v>1080</v>
      </c>
      <c r="I2111" t="s">
        <v>56</v>
      </c>
    </row>
    <row r="2112" spans="2:9" ht="15.75" customHeight="1">
      <c r="D2112" t="s">
        <v>119</v>
      </c>
      <c r="E2112">
        <v>1090</v>
      </c>
      <c r="I2112" t="s">
        <v>56</v>
      </c>
    </row>
    <row r="2113" spans="2:9" ht="15.75" customHeight="1">
      <c r="D2113" t="s">
        <v>119</v>
      </c>
      <c r="E2113">
        <v>1100</v>
      </c>
      <c r="I2113" t="s">
        <v>56</v>
      </c>
    </row>
    <row r="2114" spans="2:9" ht="15.75" customHeight="1">
      <c r="B2114" t="s">
        <v>99</v>
      </c>
      <c r="C2114" s="2" t="s">
        <v>100</v>
      </c>
      <c r="D2114" t="s">
        <v>119</v>
      </c>
      <c r="E2114">
        <v>1110</v>
      </c>
      <c r="F2114">
        <v>1</v>
      </c>
      <c r="G2114" s="32" t="s">
        <v>50</v>
      </c>
      <c r="I2114" t="s">
        <v>51</v>
      </c>
    </row>
    <row r="2115" spans="2:9" ht="15.75" customHeight="1">
      <c r="D2115" t="s">
        <v>119</v>
      </c>
      <c r="E2115">
        <v>1120</v>
      </c>
      <c r="I2115" t="s">
        <v>56</v>
      </c>
    </row>
    <row r="2116" spans="2:9" ht="15.75" customHeight="1">
      <c r="B2116" t="s">
        <v>99</v>
      </c>
      <c r="C2116" s="2" t="s">
        <v>100</v>
      </c>
      <c r="D2116" t="s">
        <v>119</v>
      </c>
      <c r="E2116">
        <v>1130</v>
      </c>
      <c r="F2116">
        <v>1</v>
      </c>
      <c r="G2116" s="32" t="s">
        <v>50</v>
      </c>
      <c r="I2116" t="s">
        <v>51</v>
      </c>
    </row>
    <row r="2117" spans="2:9" ht="15.75" customHeight="1">
      <c r="B2117" t="s">
        <v>99</v>
      </c>
      <c r="C2117" s="2" t="s">
        <v>100</v>
      </c>
      <c r="D2117" t="s">
        <v>119</v>
      </c>
      <c r="E2117">
        <v>1140</v>
      </c>
      <c r="F2117">
        <v>1</v>
      </c>
      <c r="G2117" s="32" t="s">
        <v>50</v>
      </c>
      <c r="I2117" t="s">
        <v>51</v>
      </c>
    </row>
    <row r="2118" spans="2:9" ht="15.75" customHeight="1">
      <c r="B2118" t="s">
        <v>99</v>
      </c>
      <c r="C2118" s="2" t="s">
        <v>100</v>
      </c>
      <c r="D2118" t="s">
        <v>119</v>
      </c>
      <c r="E2118">
        <v>1150</v>
      </c>
      <c r="F2118">
        <v>1</v>
      </c>
      <c r="G2118" s="32" t="s">
        <v>50</v>
      </c>
      <c r="I2118" t="s">
        <v>51</v>
      </c>
    </row>
    <row r="2119" spans="2:9" ht="15.75" customHeight="1">
      <c r="B2119" t="s">
        <v>99</v>
      </c>
      <c r="C2119" s="2" t="s">
        <v>100</v>
      </c>
      <c r="D2119" t="s">
        <v>119</v>
      </c>
      <c r="E2119">
        <v>1160</v>
      </c>
      <c r="F2119">
        <v>1</v>
      </c>
      <c r="G2119" s="32" t="s">
        <v>50</v>
      </c>
      <c r="I2119" t="s">
        <v>51</v>
      </c>
    </row>
    <row r="2120" spans="2:9" ht="15.75" customHeight="1">
      <c r="D2120" t="s">
        <v>119</v>
      </c>
      <c r="E2120">
        <v>1170</v>
      </c>
      <c r="I2120" t="s">
        <v>56</v>
      </c>
    </row>
    <row r="2121" spans="2:9" ht="15.75" customHeight="1">
      <c r="B2121" t="s">
        <v>99</v>
      </c>
      <c r="C2121" s="2" t="s">
        <v>100</v>
      </c>
      <c r="D2121" t="s">
        <v>119</v>
      </c>
      <c r="E2121">
        <v>1180</v>
      </c>
      <c r="F2121">
        <v>1</v>
      </c>
      <c r="G2121" s="32" t="s">
        <v>50</v>
      </c>
      <c r="I2121" t="s">
        <v>51</v>
      </c>
    </row>
    <row r="2122" spans="2:9" ht="15.75" customHeight="1">
      <c r="D2122" t="s">
        <v>119</v>
      </c>
      <c r="E2122">
        <v>1190</v>
      </c>
      <c r="I2122" t="s">
        <v>56</v>
      </c>
    </row>
    <row r="2123" spans="2:9" ht="15.75" customHeight="1">
      <c r="D2123" t="s">
        <v>119</v>
      </c>
      <c r="E2123">
        <v>1200</v>
      </c>
      <c r="I2123" t="s">
        <v>56</v>
      </c>
    </row>
    <row r="2124" spans="2:9" ht="15.75" customHeight="1">
      <c r="D2124" t="s">
        <v>119</v>
      </c>
      <c r="E2124">
        <v>1210</v>
      </c>
      <c r="I2124" t="s">
        <v>56</v>
      </c>
    </row>
    <row r="2125" spans="2:9" ht="15.75" customHeight="1">
      <c r="B2125" t="s">
        <v>99</v>
      </c>
      <c r="C2125" s="2" t="s">
        <v>100</v>
      </c>
      <c r="D2125" t="s">
        <v>119</v>
      </c>
      <c r="E2125">
        <v>1220</v>
      </c>
      <c r="F2125">
        <v>1</v>
      </c>
      <c r="G2125" s="32" t="s">
        <v>50</v>
      </c>
      <c r="I2125" t="s">
        <v>51</v>
      </c>
    </row>
    <row r="2126" spans="2:9" ht="15.75" customHeight="1">
      <c r="D2126" t="s">
        <v>119</v>
      </c>
      <c r="E2126">
        <v>1230</v>
      </c>
      <c r="I2126" t="s">
        <v>56</v>
      </c>
    </row>
    <row r="2127" spans="2:9" ht="15.75" customHeight="1">
      <c r="D2127" t="s">
        <v>119</v>
      </c>
      <c r="E2127">
        <v>1240</v>
      </c>
      <c r="I2127" t="s">
        <v>56</v>
      </c>
    </row>
    <row r="2128" spans="2:9" ht="15.75" customHeight="1">
      <c r="D2128" t="s">
        <v>119</v>
      </c>
      <c r="E2128">
        <v>1250</v>
      </c>
      <c r="I2128" t="s">
        <v>56</v>
      </c>
    </row>
    <row r="2129" spans="2:9" ht="15.75" customHeight="1">
      <c r="B2129" t="s">
        <v>99</v>
      </c>
      <c r="C2129" s="2" t="s">
        <v>100</v>
      </c>
      <c r="D2129" t="s">
        <v>119</v>
      </c>
      <c r="E2129">
        <v>1260</v>
      </c>
      <c r="F2129">
        <v>1</v>
      </c>
      <c r="G2129" s="32" t="s">
        <v>50</v>
      </c>
      <c r="I2129" t="s">
        <v>51</v>
      </c>
    </row>
    <row r="2130" spans="2:9" ht="15.75" customHeight="1">
      <c r="D2130" t="s">
        <v>119</v>
      </c>
      <c r="E2130">
        <v>1270</v>
      </c>
      <c r="I2130" t="s">
        <v>56</v>
      </c>
    </row>
    <row r="2131" spans="2:9" ht="15.75" customHeight="1">
      <c r="D2131" t="s">
        <v>119</v>
      </c>
      <c r="E2131">
        <v>1280</v>
      </c>
      <c r="I2131" t="s">
        <v>56</v>
      </c>
    </row>
    <row r="2132" spans="2:9" ht="15.75" customHeight="1">
      <c r="D2132" t="s">
        <v>119</v>
      </c>
      <c r="E2132">
        <v>1290</v>
      </c>
      <c r="I2132" t="s">
        <v>56</v>
      </c>
    </row>
    <row r="2133" spans="2:9" ht="15.75" customHeight="1">
      <c r="D2133" t="s">
        <v>119</v>
      </c>
      <c r="E2133">
        <v>1300</v>
      </c>
      <c r="I2133" t="s">
        <v>56</v>
      </c>
    </row>
    <row r="2134" spans="2:9" ht="15.75" customHeight="1">
      <c r="B2134" t="s">
        <v>99</v>
      </c>
      <c r="C2134" s="2" t="s">
        <v>100</v>
      </c>
      <c r="D2134" t="s">
        <v>119</v>
      </c>
      <c r="E2134">
        <v>1310</v>
      </c>
      <c r="F2134">
        <v>1</v>
      </c>
      <c r="G2134" s="32" t="s">
        <v>50</v>
      </c>
      <c r="I2134" t="s">
        <v>51</v>
      </c>
    </row>
    <row r="2135" spans="2:9" ht="15.75" customHeight="1">
      <c r="D2135" t="s">
        <v>119</v>
      </c>
      <c r="E2135">
        <v>1320</v>
      </c>
      <c r="I2135" t="s">
        <v>56</v>
      </c>
    </row>
    <row r="2136" spans="2:9" ht="15.75" customHeight="1">
      <c r="B2136" t="s">
        <v>99</v>
      </c>
      <c r="C2136" s="2" t="s">
        <v>100</v>
      </c>
      <c r="D2136" t="s">
        <v>119</v>
      </c>
      <c r="E2136">
        <v>1330</v>
      </c>
      <c r="F2136">
        <v>1</v>
      </c>
      <c r="G2136" s="32" t="s">
        <v>50</v>
      </c>
      <c r="I2136" t="s">
        <v>51</v>
      </c>
    </row>
    <row r="2137" spans="2:9" ht="15.75" customHeight="1">
      <c r="B2137" t="s">
        <v>99</v>
      </c>
      <c r="C2137" s="2" t="s">
        <v>100</v>
      </c>
      <c r="D2137" t="s">
        <v>119</v>
      </c>
      <c r="E2137">
        <v>1340</v>
      </c>
      <c r="F2137">
        <v>1</v>
      </c>
      <c r="G2137" s="32" t="s">
        <v>50</v>
      </c>
      <c r="I2137" t="s">
        <v>51</v>
      </c>
    </row>
    <row r="2138" spans="2:9" ht="15.75" customHeight="1">
      <c r="D2138" t="s">
        <v>119</v>
      </c>
      <c r="E2138">
        <v>1350</v>
      </c>
      <c r="I2138" t="s">
        <v>56</v>
      </c>
    </row>
    <row r="2139" spans="2:9" ht="15.75" customHeight="1">
      <c r="B2139" t="s">
        <v>99</v>
      </c>
      <c r="C2139" s="2" t="s">
        <v>100</v>
      </c>
      <c r="D2139" t="s">
        <v>119</v>
      </c>
      <c r="E2139">
        <v>1360</v>
      </c>
      <c r="F2139">
        <v>1</v>
      </c>
      <c r="G2139" s="32" t="s">
        <v>50</v>
      </c>
      <c r="I2139" t="s">
        <v>51</v>
      </c>
    </row>
    <row r="2140" spans="2:9" ht="15.75" customHeight="1">
      <c r="B2140" t="s">
        <v>99</v>
      </c>
      <c r="C2140" s="2" t="s">
        <v>100</v>
      </c>
      <c r="D2140" t="s">
        <v>119</v>
      </c>
      <c r="E2140">
        <v>1370</v>
      </c>
      <c r="F2140">
        <v>1</v>
      </c>
      <c r="G2140" s="32" t="s">
        <v>50</v>
      </c>
      <c r="I2140" t="s">
        <v>51</v>
      </c>
    </row>
    <row r="2141" spans="2:9" ht="15.75" customHeight="1">
      <c r="D2141" t="s">
        <v>119</v>
      </c>
      <c r="E2141">
        <v>1380</v>
      </c>
      <c r="I2141" t="s">
        <v>56</v>
      </c>
    </row>
    <row r="2142" spans="2:9" ht="15.75" customHeight="1">
      <c r="B2142" t="s">
        <v>99</v>
      </c>
      <c r="C2142" s="2" t="s">
        <v>100</v>
      </c>
      <c r="D2142" t="s">
        <v>119</v>
      </c>
      <c r="E2142">
        <v>1390</v>
      </c>
      <c r="F2142">
        <v>1</v>
      </c>
      <c r="G2142" s="32" t="s">
        <v>50</v>
      </c>
      <c r="I2142" t="s">
        <v>51</v>
      </c>
    </row>
    <row r="2143" spans="2:9" ht="15.75" customHeight="1">
      <c r="D2143" t="s">
        <v>119</v>
      </c>
      <c r="E2143">
        <v>1400</v>
      </c>
      <c r="I2143" t="s">
        <v>56</v>
      </c>
    </row>
    <row r="2144" spans="2:9" ht="15.75" customHeight="1">
      <c r="B2144" t="s">
        <v>99</v>
      </c>
      <c r="C2144" s="2" t="s">
        <v>100</v>
      </c>
      <c r="D2144" t="s">
        <v>119</v>
      </c>
      <c r="E2144">
        <v>1410</v>
      </c>
      <c r="F2144">
        <v>1</v>
      </c>
      <c r="G2144" s="32" t="s">
        <v>50</v>
      </c>
      <c r="I2144" t="s">
        <v>51</v>
      </c>
    </row>
    <row r="2145" spans="2:9" ht="15.75" customHeight="1">
      <c r="B2145" t="s">
        <v>99</v>
      </c>
      <c r="C2145" s="2" t="s">
        <v>100</v>
      </c>
      <c r="D2145" t="s">
        <v>119</v>
      </c>
      <c r="E2145">
        <v>1420</v>
      </c>
      <c r="F2145">
        <v>1</v>
      </c>
      <c r="G2145" s="32" t="s">
        <v>50</v>
      </c>
      <c r="I2145" t="s">
        <v>51</v>
      </c>
    </row>
    <row r="2146" spans="2:9" ht="15.75" customHeight="1">
      <c r="D2146" t="s">
        <v>119</v>
      </c>
      <c r="E2146">
        <v>1430</v>
      </c>
      <c r="I2146" t="s">
        <v>56</v>
      </c>
    </row>
    <row r="2147" spans="2:9" ht="15.75" customHeight="1">
      <c r="D2147" t="s">
        <v>119</v>
      </c>
      <c r="E2147">
        <v>1440</v>
      </c>
      <c r="I2147" t="s">
        <v>56</v>
      </c>
    </row>
    <row r="2148" spans="2:9" ht="15.75" customHeight="1">
      <c r="D2148" t="s">
        <v>119</v>
      </c>
      <c r="E2148">
        <v>1450</v>
      </c>
      <c r="I2148" t="s">
        <v>56</v>
      </c>
    </row>
    <row r="2149" spans="2:9" ht="15.75" customHeight="1">
      <c r="D2149" t="s">
        <v>119</v>
      </c>
      <c r="E2149">
        <v>1460</v>
      </c>
      <c r="I2149" t="s">
        <v>56</v>
      </c>
    </row>
    <row r="2150" spans="2:9" ht="15.75" customHeight="1">
      <c r="B2150" t="s">
        <v>99</v>
      </c>
      <c r="C2150" s="2" t="s">
        <v>100</v>
      </c>
      <c r="D2150" t="s">
        <v>119</v>
      </c>
      <c r="E2150">
        <v>1470</v>
      </c>
      <c r="F2150">
        <v>1</v>
      </c>
      <c r="G2150" s="32" t="s">
        <v>50</v>
      </c>
      <c r="I2150" t="s">
        <v>51</v>
      </c>
    </row>
    <row r="2151" spans="2:9" ht="15.75" customHeight="1">
      <c r="D2151" t="s">
        <v>119</v>
      </c>
      <c r="E2151">
        <v>1480</v>
      </c>
      <c r="I2151" t="s">
        <v>56</v>
      </c>
    </row>
    <row r="2152" spans="2:9" ht="15.75" customHeight="1">
      <c r="D2152" t="s">
        <v>119</v>
      </c>
      <c r="E2152">
        <v>1490</v>
      </c>
      <c r="I2152" t="s">
        <v>56</v>
      </c>
    </row>
    <row r="2153" spans="2:9" ht="15.75" customHeight="1">
      <c r="B2153" t="s">
        <v>99</v>
      </c>
      <c r="C2153" s="2" t="s">
        <v>100</v>
      </c>
      <c r="D2153" t="s">
        <v>119</v>
      </c>
      <c r="E2153">
        <v>1500</v>
      </c>
      <c r="F2153">
        <v>1</v>
      </c>
      <c r="G2153" s="32" t="s">
        <v>50</v>
      </c>
      <c r="I2153" t="s">
        <v>51</v>
      </c>
    </row>
    <row r="2154" spans="2:9" ht="15.75" customHeight="1">
      <c r="D2154" t="s">
        <v>119</v>
      </c>
      <c r="E2154">
        <v>1510</v>
      </c>
      <c r="I2154" t="s">
        <v>56</v>
      </c>
    </row>
    <row r="2155" spans="2:9" ht="15.75" customHeight="1">
      <c r="D2155" t="s">
        <v>119</v>
      </c>
      <c r="E2155">
        <v>1520</v>
      </c>
      <c r="I2155" t="s">
        <v>56</v>
      </c>
    </row>
    <row r="2156" spans="2:9" ht="15.75" customHeight="1">
      <c r="B2156" t="s">
        <v>99</v>
      </c>
      <c r="C2156" s="2" t="s">
        <v>100</v>
      </c>
      <c r="D2156" t="s">
        <v>119</v>
      </c>
      <c r="E2156">
        <v>1530</v>
      </c>
      <c r="F2156">
        <v>1</v>
      </c>
      <c r="G2156" s="32" t="s">
        <v>50</v>
      </c>
      <c r="I2156" t="s">
        <v>51</v>
      </c>
    </row>
    <row r="2157" spans="2:9" ht="15.75" customHeight="1">
      <c r="B2157" t="s">
        <v>99</v>
      </c>
      <c r="C2157" s="2" t="s">
        <v>100</v>
      </c>
      <c r="D2157" t="s">
        <v>119</v>
      </c>
      <c r="E2157">
        <v>1540</v>
      </c>
      <c r="F2157">
        <v>1</v>
      </c>
      <c r="G2157" s="32" t="s">
        <v>50</v>
      </c>
      <c r="I2157" t="s">
        <v>51</v>
      </c>
    </row>
    <row r="2158" spans="2:9" ht="15.75" customHeight="1">
      <c r="D2158" t="s">
        <v>119</v>
      </c>
      <c r="E2158">
        <v>1550</v>
      </c>
      <c r="I2158" t="s">
        <v>56</v>
      </c>
    </row>
    <row r="2159" spans="2:9" ht="15.75" customHeight="1">
      <c r="D2159" t="s">
        <v>119</v>
      </c>
      <c r="E2159">
        <v>1560</v>
      </c>
      <c r="I2159" t="s">
        <v>56</v>
      </c>
    </row>
    <row r="2160" spans="2:9" ht="15.75" customHeight="1">
      <c r="D2160" t="s">
        <v>119</v>
      </c>
      <c r="E2160">
        <v>1570</v>
      </c>
      <c r="I2160" t="s">
        <v>56</v>
      </c>
    </row>
    <row r="2161" spans="2:12" ht="15.75" customHeight="1">
      <c r="D2161" t="s">
        <v>119</v>
      </c>
      <c r="E2161">
        <v>1580</v>
      </c>
      <c r="I2161" t="s">
        <v>56</v>
      </c>
    </row>
    <row r="2162" spans="2:12" ht="15.75" customHeight="1">
      <c r="D2162" t="s">
        <v>119</v>
      </c>
      <c r="E2162">
        <v>1590</v>
      </c>
      <c r="I2162" t="s">
        <v>56</v>
      </c>
    </row>
    <row r="2163" spans="2:12" ht="15.75" customHeight="1">
      <c r="D2163" t="s">
        <v>119</v>
      </c>
      <c r="E2163">
        <v>1600</v>
      </c>
      <c r="I2163" t="s">
        <v>56</v>
      </c>
    </row>
    <row r="2164" spans="2:12" ht="15.75" customHeight="1">
      <c r="D2164" t="s">
        <v>119</v>
      </c>
      <c r="E2164">
        <v>1610</v>
      </c>
      <c r="I2164" t="s">
        <v>56</v>
      </c>
    </row>
    <row r="2165" spans="2:12" ht="15.75" customHeight="1">
      <c r="B2165" t="s">
        <v>99</v>
      </c>
      <c r="C2165" s="2" t="s">
        <v>100</v>
      </c>
      <c r="D2165" t="s">
        <v>119</v>
      </c>
      <c r="E2165">
        <v>1620</v>
      </c>
      <c r="F2165">
        <v>1</v>
      </c>
      <c r="G2165" s="32" t="s">
        <v>50</v>
      </c>
      <c r="I2165" t="s">
        <v>51</v>
      </c>
    </row>
    <row r="2166" spans="2:12" ht="15.75" customHeight="1">
      <c r="D2166" s="34" t="s">
        <v>124</v>
      </c>
      <c r="E2166">
        <v>0</v>
      </c>
      <c r="F2166">
        <v>1</v>
      </c>
      <c r="H2166">
        <v>2</v>
      </c>
      <c r="J2166" t="s">
        <v>19</v>
      </c>
      <c r="K2166" t="s">
        <v>20</v>
      </c>
      <c r="L2166" t="s">
        <v>26</v>
      </c>
    </row>
    <row r="2167" spans="2:12" ht="15.75" customHeight="1">
      <c r="D2167" s="34" t="s">
        <v>124</v>
      </c>
      <c r="E2167">
        <v>10</v>
      </c>
      <c r="F2167">
        <v>1</v>
      </c>
      <c r="H2167">
        <v>1</v>
      </c>
      <c r="J2167" t="s">
        <v>19</v>
      </c>
      <c r="K2167" t="s">
        <v>20</v>
      </c>
      <c r="L2167" t="s">
        <v>26</v>
      </c>
    </row>
    <row r="2168" spans="2:12" ht="15.75" customHeight="1">
      <c r="D2168" s="34" t="s">
        <v>124</v>
      </c>
      <c r="E2168">
        <v>10</v>
      </c>
      <c r="F2168">
        <v>2</v>
      </c>
      <c r="H2168">
        <v>0</v>
      </c>
      <c r="J2168" t="s">
        <v>38</v>
      </c>
      <c r="L2168" t="s">
        <v>28</v>
      </c>
    </row>
    <row r="2169" spans="2:12" ht="15.75" customHeight="1">
      <c r="D2169" s="34" t="s">
        <v>124</v>
      </c>
      <c r="E2169">
        <v>20</v>
      </c>
      <c r="F2169">
        <v>1</v>
      </c>
      <c r="H2169">
        <v>1</v>
      </c>
      <c r="J2169" t="s">
        <v>19</v>
      </c>
      <c r="K2169" t="s">
        <v>20</v>
      </c>
      <c r="L2169" t="s">
        <v>26</v>
      </c>
    </row>
    <row r="2170" spans="2:12" ht="15.75" customHeight="1">
      <c r="D2170" s="34" t="s">
        <v>124</v>
      </c>
      <c r="E2170">
        <v>20</v>
      </c>
      <c r="F2170">
        <v>2</v>
      </c>
      <c r="H2170">
        <v>0</v>
      </c>
      <c r="J2170" t="s">
        <v>38</v>
      </c>
      <c r="L2170" t="s">
        <v>28</v>
      </c>
    </row>
    <row r="2171" spans="2:12" ht="15.75" customHeight="1">
      <c r="B2171" t="s">
        <v>99</v>
      </c>
      <c r="C2171" s="3" t="s">
        <v>100</v>
      </c>
      <c r="D2171" s="1" t="s">
        <v>124</v>
      </c>
      <c r="E2171">
        <v>30</v>
      </c>
      <c r="F2171">
        <v>1</v>
      </c>
      <c r="G2171" s="32">
        <v>2</v>
      </c>
      <c r="H2171">
        <v>1</v>
      </c>
      <c r="J2171" t="s">
        <v>19</v>
      </c>
      <c r="K2171" t="s">
        <v>20</v>
      </c>
      <c r="L2171" t="s">
        <v>26</v>
      </c>
    </row>
    <row r="2172" spans="2:12" ht="15.75" customHeight="1">
      <c r="B2172" t="s">
        <v>99</v>
      </c>
      <c r="C2172" s="3" t="s">
        <v>100</v>
      </c>
      <c r="D2172" s="1" t="s">
        <v>124</v>
      </c>
      <c r="E2172">
        <v>30</v>
      </c>
      <c r="F2172">
        <v>2</v>
      </c>
      <c r="G2172" s="32">
        <v>1</v>
      </c>
      <c r="H2172">
        <v>2</v>
      </c>
      <c r="J2172" t="s">
        <v>35</v>
      </c>
      <c r="K2172" t="s">
        <v>36</v>
      </c>
      <c r="L2172" t="s">
        <v>28</v>
      </c>
    </row>
    <row r="2173" spans="2:12" ht="15.75" customHeight="1">
      <c r="D2173" s="34" t="s">
        <v>124</v>
      </c>
      <c r="E2173">
        <v>40</v>
      </c>
      <c r="F2173">
        <v>1</v>
      </c>
      <c r="H2173">
        <v>1</v>
      </c>
      <c r="J2173" t="s">
        <v>19</v>
      </c>
      <c r="K2173" t="s">
        <v>20</v>
      </c>
      <c r="L2173" t="s">
        <v>26</v>
      </c>
    </row>
    <row r="2174" spans="2:12" ht="15.75" customHeight="1">
      <c r="D2174" s="34" t="s">
        <v>124</v>
      </c>
      <c r="E2174">
        <v>40</v>
      </c>
      <c r="F2174">
        <v>2</v>
      </c>
      <c r="H2174">
        <v>2</v>
      </c>
      <c r="J2174" t="s">
        <v>38</v>
      </c>
      <c r="K2174" t="s">
        <v>27</v>
      </c>
      <c r="L2174" t="s">
        <v>28</v>
      </c>
    </row>
    <row r="2175" spans="2:12" ht="15.75" customHeight="1">
      <c r="D2175" s="34" t="s">
        <v>124</v>
      </c>
      <c r="E2175">
        <v>50</v>
      </c>
      <c r="F2175">
        <v>1</v>
      </c>
      <c r="H2175">
        <v>1</v>
      </c>
      <c r="J2175" t="s">
        <v>19</v>
      </c>
      <c r="K2175" t="s">
        <v>20</v>
      </c>
      <c r="L2175" t="s">
        <v>26</v>
      </c>
    </row>
    <row r="2176" spans="2:12" ht="15.75" customHeight="1">
      <c r="B2176" t="s">
        <v>99</v>
      </c>
      <c r="C2176" s="3" t="s">
        <v>100</v>
      </c>
      <c r="D2176" s="1" t="s">
        <v>124</v>
      </c>
      <c r="E2176">
        <v>60</v>
      </c>
      <c r="F2176">
        <v>1</v>
      </c>
      <c r="G2176" s="32">
        <v>2</v>
      </c>
      <c r="H2176">
        <v>1</v>
      </c>
      <c r="J2176" t="s">
        <v>19</v>
      </c>
      <c r="K2176" t="s">
        <v>20</v>
      </c>
      <c r="L2176" t="s">
        <v>26</v>
      </c>
    </row>
    <row r="2177" spans="2:12" ht="15.75" customHeight="1">
      <c r="B2177" t="s">
        <v>99</v>
      </c>
      <c r="C2177" s="3" t="s">
        <v>100</v>
      </c>
      <c r="D2177" s="1" t="s">
        <v>124</v>
      </c>
      <c r="E2177">
        <v>60</v>
      </c>
      <c r="F2177">
        <v>2</v>
      </c>
      <c r="G2177" s="32">
        <v>1</v>
      </c>
      <c r="H2177">
        <v>2</v>
      </c>
      <c r="J2177" t="s">
        <v>35</v>
      </c>
      <c r="K2177" t="s">
        <v>36</v>
      </c>
      <c r="L2177" t="s">
        <v>28</v>
      </c>
    </row>
    <row r="2178" spans="2:12" ht="15.75" customHeight="1">
      <c r="B2178" t="s">
        <v>99</v>
      </c>
      <c r="C2178" s="3" t="s">
        <v>100</v>
      </c>
      <c r="D2178" s="1" t="s">
        <v>124</v>
      </c>
      <c r="E2178">
        <v>70</v>
      </c>
      <c r="F2178">
        <v>1</v>
      </c>
      <c r="G2178" s="32">
        <v>2</v>
      </c>
      <c r="H2178">
        <v>2</v>
      </c>
      <c r="J2178" t="s">
        <v>19</v>
      </c>
      <c r="K2178" t="s">
        <v>20</v>
      </c>
      <c r="L2178" t="s">
        <v>26</v>
      </c>
    </row>
    <row r="2179" spans="2:12" ht="15.75" customHeight="1">
      <c r="B2179" t="s">
        <v>99</v>
      </c>
      <c r="C2179" s="3" t="s">
        <v>100</v>
      </c>
      <c r="D2179" s="1" t="s">
        <v>124</v>
      </c>
      <c r="E2179">
        <v>70</v>
      </c>
      <c r="F2179">
        <v>2</v>
      </c>
      <c r="G2179" s="32">
        <v>1</v>
      </c>
      <c r="H2179">
        <v>1</v>
      </c>
      <c r="J2179" t="s">
        <v>35</v>
      </c>
      <c r="K2179" t="s">
        <v>36</v>
      </c>
      <c r="L2179" t="s">
        <v>28</v>
      </c>
    </row>
    <row r="2180" spans="2:12" ht="15.75" customHeight="1">
      <c r="B2180" t="s">
        <v>99</v>
      </c>
      <c r="C2180" s="3" t="s">
        <v>100</v>
      </c>
      <c r="D2180" s="1" t="s">
        <v>124</v>
      </c>
      <c r="E2180">
        <v>80</v>
      </c>
      <c r="F2180">
        <v>1</v>
      </c>
      <c r="G2180" s="32">
        <v>1</v>
      </c>
      <c r="H2180">
        <v>2</v>
      </c>
      <c r="J2180" t="s">
        <v>19</v>
      </c>
      <c r="K2180" t="s">
        <v>20</v>
      </c>
      <c r="L2180" t="s">
        <v>26</v>
      </c>
    </row>
    <row r="2181" spans="2:12" ht="15.75" customHeight="1">
      <c r="B2181" t="s">
        <v>99</v>
      </c>
      <c r="C2181" s="3" t="s">
        <v>100</v>
      </c>
      <c r="D2181" s="1" t="s">
        <v>124</v>
      </c>
      <c r="E2181">
        <v>80</v>
      </c>
      <c r="F2181">
        <v>2</v>
      </c>
      <c r="G2181" s="32">
        <v>0</v>
      </c>
      <c r="H2181">
        <v>0</v>
      </c>
      <c r="J2181" t="s">
        <v>35</v>
      </c>
      <c r="L2181" t="s">
        <v>28</v>
      </c>
    </row>
    <row r="2182" spans="2:12" ht="15.75" customHeight="1">
      <c r="D2182" s="34" t="s">
        <v>124</v>
      </c>
      <c r="E2182">
        <v>90</v>
      </c>
      <c r="F2182">
        <v>1</v>
      </c>
      <c r="H2182">
        <v>0</v>
      </c>
      <c r="J2182" t="s">
        <v>38</v>
      </c>
      <c r="L2182" t="s">
        <v>28</v>
      </c>
    </row>
    <row r="2183" spans="2:12" ht="15.75" customHeight="1">
      <c r="D2183" s="34" t="s">
        <v>124</v>
      </c>
      <c r="E2183">
        <v>100</v>
      </c>
      <c r="F2183">
        <v>1</v>
      </c>
      <c r="H2183">
        <v>1</v>
      </c>
      <c r="J2183" t="s">
        <v>19</v>
      </c>
      <c r="K2183" t="s">
        <v>20</v>
      </c>
      <c r="L2183" t="s">
        <v>26</v>
      </c>
    </row>
    <row r="2184" spans="2:12" ht="15.75" customHeight="1">
      <c r="D2184" s="34" t="s">
        <v>124</v>
      </c>
      <c r="E2184">
        <v>100</v>
      </c>
      <c r="F2184">
        <v>2</v>
      </c>
      <c r="H2184">
        <v>0</v>
      </c>
      <c r="J2184" t="s">
        <v>38</v>
      </c>
      <c r="L2184" t="s">
        <v>28</v>
      </c>
    </row>
    <row r="2185" spans="2:12" ht="15.75" customHeight="1">
      <c r="D2185" s="34" t="s">
        <v>124</v>
      </c>
      <c r="E2185">
        <v>110</v>
      </c>
      <c r="I2185" t="s">
        <v>85</v>
      </c>
    </row>
    <row r="2186" spans="2:12" ht="15.75" customHeight="1">
      <c r="B2186" t="s">
        <v>99</v>
      </c>
      <c r="C2186" s="3" t="s">
        <v>100</v>
      </c>
      <c r="D2186" s="1" t="s">
        <v>124</v>
      </c>
      <c r="E2186">
        <v>120</v>
      </c>
      <c r="F2186">
        <v>1</v>
      </c>
      <c r="G2186" s="32">
        <v>2</v>
      </c>
      <c r="H2186">
        <v>2</v>
      </c>
      <c r="J2186" t="s">
        <v>19</v>
      </c>
      <c r="K2186" t="s">
        <v>20</v>
      </c>
      <c r="L2186" t="s">
        <v>26</v>
      </c>
    </row>
    <row r="2187" spans="2:12" ht="15.75" customHeight="1">
      <c r="B2187" t="s">
        <v>99</v>
      </c>
      <c r="C2187" s="3" t="s">
        <v>100</v>
      </c>
      <c r="D2187" s="1" t="s">
        <v>124</v>
      </c>
      <c r="E2187">
        <v>120</v>
      </c>
      <c r="F2187">
        <v>2</v>
      </c>
      <c r="G2187" s="32">
        <v>1</v>
      </c>
      <c r="H2187">
        <v>2</v>
      </c>
      <c r="J2187" t="s">
        <v>35</v>
      </c>
      <c r="K2187" t="s">
        <v>36</v>
      </c>
      <c r="L2187" t="s">
        <v>28</v>
      </c>
    </row>
    <row r="2188" spans="2:12" ht="15.75" customHeight="1">
      <c r="B2188" t="s">
        <v>99</v>
      </c>
      <c r="C2188" s="3" t="s">
        <v>100</v>
      </c>
      <c r="D2188" s="1" t="s">
        <v>124</v>
      </c>
      <c r="E2188">
        <v>130</v>
      </c>
      <c r="F2188">
        <v>1</v>
      </c>
      <c r="G2188" s="32">
        <v>2</v>
      </c>
      <c r="H2188">
        <v>2</v>
      </c>
      <c r="J2188" t="s">
        <v>19</v>
      </c>
      <c r="K2188" t="s">
        <v>20</v>
      </c>
      <c r="L2188" t="s">
        <v>26</v>
      </c>
    </row>
    <row r="2189" spans="2:12" ht="15.75" customHeight="1">
      <c r="B2189" t="s">
        <v>99</v>
      </c>
      <c r="C2189" s="3" t="s">
        <v>100</v>
      </c>
      <c r="D2189" s="1" t="s">
        <v>124</v>
      </c>
      <c r="E2189">
        <v>130</v>
      </c>
      <c r="F2189">
        <v>2</v>
      </c>
      <c r="G2189" s="32">
        <v>1</v>
      </c>
      <c r="H2189">
        <v>2</v>
      </c>
      <c r="J2189" t="s">
        <v>35</v>
      </c>
      <c r="K2189" t="s">
        <v>36</v>
      </c>
      <c r="L2189" t="s">
        <v>28</v>
      </c>
    </row>
    <row r="2190" spans="2:12" ht="15.75" customHeight="1">
      <c r="B2190" t="s">
        <v>99</v>
      </c>
      <c r="C2190" s="3" t="s">
        <v>100</v>
      </c>
      <c r="D2190" s="1" t="s">
        <v>124</v>
      </c>
      <c r="E2190">
        <v>140</v>
      </c>
      <c r="F2190">
        <v>1</v>
      </c>
      <c r="G2190" s="32">
        <v>2</v>
      </c>
      <c r="H2190">
        <v>2</v>
      </c>
      <c r="J2190" t="s">
        <v>19</v>
      </c>
      <c r="K2190" t="s">
        <v>20</v>
      </c>
      <c r="L2190" t="s">
        <v>26</v>
      </c>
    </row>
    <row r="2191" spans="2:12" ht="15.75" customHeight="1">
      <c r="B2191" t="s">
        <v>99</v>
      </c>
      <c r="C2191" s="3" t="s">
        <v>100</v>
      </c>
      <c r="D2191" s="1" t="s">
        <v>124</v>
      </c>
      <c r="E2191">
        <v>140</v>
      </c>
      <c r="F2191">
        <v>2</v>
      </c>
      <c r="G2191" s="32">
        <v>1</v>
      </c>
      <c r="H2191">
        <v>2</v>
      </c>
      <c r="J2191" t="s">
        <v>35</v>
      </c>
      <c r="K2191" t="s">
        <v>36</v>
      </c>
      <c r="L2191" t="s">
        <v>28</v>
      </c>
    </row>
    <row r="2192" spans="2:12" ht="15.75" customHeight="1">
      <c r="B2192" t="s">
        <v>99</v>
      </c>
      <c r="C2192" s="3" t="s">
        <v>100</v>
      </c>
      <c r="D2192" s="1" t="s">
        <v>124</v>
      </c>
      <c r="E2192">
        <v>150</v>
      </c>
      <c r="F2192">
        <v>1</v>
      </c>
      <c r="G2192" s="32">
        <v>1</v>
      </c>
      <c r="H2192">
        <v>2</v>
      </c>
      <c r="J2192" t="s">
        <v>19</v>
      </c>
      <c r="K2192" t="s">
        <v>20</v>
      </c>
      <c r="L2192" t="s">
        <v>26</v>
      </c>
    </row>
    <row r="2193" spans="2:12" ht="15.75" customHeight="1">
      <c r="B2193" t="s">
        <v>99</v>
      </c>
      <c r="C2193" s="3" t="s">
        <v>100</v>
      </c>
      <c r="D2193" s="1" t="s">
        <v>124</v>
      </c>
      <c r="E2193">
        <v>160</v>
      </c>
      <c r="F2193">
        <v>1</v>
      </c>
      <c r="G2193" s="32">
        <v>3</v>
      </c>
      <c r="H2193">
        <v>0</v>
      </c>
      <c r="J2193" t="s">
        <v>46</v>
      </c>
    </row>
    <row r="2194" spans="2:12" ht="15.75" customHeight="1">
      <c r="B2194" t="s">
        <v>99</v>
      </c>
      <c r="C2194" s="3" t="s">
        <v>100</v>
      </c>
      <c r="D2194" s="1" t="s">
        <v>124</v>
      </c>
      <c r="E2194">
        <v>160</v>
      </c>
      <c r="F2194">
        <v>2</v>
      </c>
      <c r="G2194" s="32">
        <v>1</v>
      </c>
      <c r="H2194">
        <v>1</v>
      </c>
      <c r="J2194" t="s">
        <v>35</v>
      </c>
      <c r="K2194" t="s">
        <v>36</v>
      </c>
      <c r="L2194" t="s">
        <v>28</v>
      </c>
    </row>
    <row r="2195" spans="2:12" ht="15.75" customHeight="1">
      <c r="D2195" s="34" t="s">
        <v>124</v>
      </c>
      <c r="E2195">
        <v>170</v>
      </c>
      <c r="F2195">
        <v>1</v>
      </c>
      <c r="H2195">
        <v>2</v>
      </c>
      <c r="J2195" t="s">
        <v>38</v>
      </c>
      <c r="K2195" t="s">
        <v>34</v>
      </c>
      <c r="L2195" t="s">
        <v>28</v>
      </c>
    </row>
    <row r="2196" spans="2:12" ht="15.75" customHeight="1">
      <c r="D2196" s="34" t="s">
        <v>124</v>
      </c>
      <c r="E2196">
        <v>180</v>
      </c>
      <c r="F2196">
        <v>1</v>
      </c>
      <c r="H2196">
        <v>2</v>
      </c>
      <c r="J2196" t="s">
        <v>38</v>
      </c>
      <c r="L2196" t="s">
        <v>28</v>
      </c>
    </row>
    <row r="2197" spans="2:12" ht="15.75" customHeight="1">
      <c r="D2197" s="34" t="s">
        <v>124</v>
      </c>
      <c r="E2197">
        <v>190</v>
      </c>
      <c r="F2197">
        <v>1</v>
      </c>
      <c r="H2197">
        <v>2</v>
      </c>
      <c r="J2197" t="s">
        <v>19</v>
      </c>
      <c r="K2197" t="s">
        <v>20</v>
      </c>
      <c r="L2197" t="s">
        <v>26</v>
      </c>
    </row>
    <row r="2198" spans="2:12" ht="15.75" customHeight="1">
      <c r="D2198" s="34" t="s">
        <v>124</v>
      </c>
      <c r="E2198">
        <v>200</v>
      </c>
      <c r="F2198">
        <v>1</v>
      </c>
      <c r="H2198">
        <v>0</v>
      </c>
      <c r="J2198" t="s">
        <v>53</v>
      </c>
      <c r="L2198" t="s">
        <v>28</v>
      </c>
    </row>
    <row r="2199" spans="2:12" ht="15.75" customHeight="1">
      <c r="D2199" s="34" t="s">
        <v>124</v>
      </c>
      <c r="E2199">
        <v>210</v>
      </c>
      <c r="F2199">
        <v>1</v>
      </c>
      <c r="H2199">
        <v>2</v>
      </c>
      <c r="J2199" t="s">
        <v>19</v>
      </c>
      <c r="K2199" t="s">
        <v>20</v>
      </c>
      <c r="L2199" t="s">
        <v>26</v>
      </c>
    </row>
    <row r="2200" spans="2:12" ht="15.75" customHeight="1">
      <c r="D2200" s="34" t="s">
        <v>124</v>
      </c>
      <c r="E2200">
        <v>210</v>
      </c>
      <c r="F2200">
        <v>2</v>
      </c>
      <c r="H2200">
        <v>2</v>
      </c>
      <c r="J2200" t="s">
        <v>53</v>
      </c>
      <c r="K2200" t="s">
        <v>34</v>
      </c>
      <c r="L2200" t="s">
        <v>28</v>
      </c>
    </row>
    <row r="2201" spans="2:12" ht="15.75" customHeight="1">
      <c r="D2201" s="34" t="s">
        <v>124</v>
      </c>
      <c r="E2201">
        <v>220</v>
      </c>
      <c r="F2201">
        <v>1</v>
      </c>
      <c r="H2201">
        <v>2</v>
      </c>
      <c r="J2201" t="s">
        <v>19</v>
      </c>
      <c r="K2201" t="s">
        <v>20</v>
      </c>
      <c r="L2201" t="s">
        <v>26</v>
      </c>
    </row>
    <row r="2202" spans="2:12" ht="15.75" customHeight="1">
      <c r="D2202" s="34" t="s">
        <v>124</v>
      </c>
      <c r="E2202">
        <v>220</v>
      </c>
      <c r="F2202">
        <v>2</v>
      </c>
      <c r="H2202">
        <v>2</v>
      </c>
      <c r="J2202" t="s">
        <v>53</v>
      </c>
      <c r="K2202" t="s">
        <v>34</v>
      </c>
      <c r="L2202" t="s">
        <v>28</v>
      </c>
    </row>
    <row r="2203" spans="2:12" ht="15.75" customHeight="1">
      <c r="B2203" t="s">
        <v>99</v>
      </c>
      <c r="C2203" s="3" t="s">
        <v>100</v>
      </c>
      <c r="D2203" s="1" t="s">
        <v>124</v>
      </c>
      <c r="E2203">
        <v>230</v>
      </c>
      <c r="F2203">
        <v>1</v>
      </c>
      <c r="G2203" s="32">
        <v>2</v>
      </c>
      <c r="H2203">
        <v>1</v>
      </c>
      <c r="J2203" t="s">
        <v>19</v>
      </c>
      <c r="K2203" t="s">
        <v>20</v>
      </c>
      <c r="L2203" t="s">
        <v>26</v>
      </c>
    </row>
    <row r="2204" spans="2:12" ht="15.75" customHeight="1">
      <c r="B2204" t="s">
        <v>99</v>
      </c>
      <c r="C2204" s="3" t="s">
        <v>100</v>
      </c>
      <c r="D2204" s="1" t="s">
        <v>124</v>
      </c>
      <c r="E2204">
        <v>230</v>
      </c>
      <c r="F2204">
        <v>2</v>
      </c>
      <c r="G2204" s="32">
        <v>1</v>
      </c>
      <c r="H2204">
        <v>1</v>
      </c>
      <c r="J2204" t="s">
        <v>52</v>
      </c>
      <c r="K2204" t="s">
        <v>33</v>
      </c>
      <c r="L2204" t="s">
        <v>28</v>
      </c>
    </row>
    <row r="2205" spans="2:12" ht="15.75" customHeight="1">
      <c r="D2205" s="34" t="s">
        <v>124</v>
      </c>
      <c r="E2205">
        <v>240</v>
      </c>
      <c r="F2205">
        <v>1</v>
      </c>
      <c r="H2205">
        <v>2</v>
      </c>
      <c r="J2205" t="s">
        <v>19</v>
      </c>
      <c r="K2205" t="s">
        <v>20</v>
      </c>
      <c r="L2205" t="s">
        <v>26</v>
      </c>
    </row>
    <row r="2206" spans="2:12" ht="15.75" customHeight="1">
      <c r="D2206" s="34" t="s">
        <v>124</v>
      </c>
      <c r="E2206">
        <v>240</v>
      </c>
      <c r="F2206">
        <v>2</v>
      </c>
      <c r="H2206">
        <v>2</v>
      </c>
      <c r="J2206" t="s">
        <v>53</v>
      </c>
      <c r="K2206" t="s">
        <v>34</v>
      </c>
      <c r="L2206" t="s">
        <v>28</v>
      </c>
    </row>
    <row r="2207" spans="2:12" ht="15.75" customHeight="1">
      <c r="D2207" s="34" t="s">
        <v>124</v>
      </c>
      <c r="E2207">
        <v>250</v>
      </c>
      <c r="F2207">
        <v>1</v>
      </c>
      <c r="H2207">
        <v>2</v>
      </c>
      <c r="J2207" t="s">
        <v>19</v>
      </c>
      <c r="K2207" t="s">
        <v>20</v>
      </c>
      <c r="L2207" t="s">
        <v>26</v>
      </c>
    </row>
    <row r="2208" spans="2:12" ht="15.75" customHeight="1">
      <c r="D2208" s="34" t="s">
        <v>124</v>
      </c>
      <c r="E2208">
        <v>250</v>
      </c>
      <c r="F2208">
        <v>2</v>
      </c>
      <c r="H2208">
        <v>2</v>
      </c>
      <c r="J2208" t="s">
        <v>53</v>
      </c>
      <c r="K2208" t="s">
        <v>34</v>
      </c>
      <c r="L2208" t="s">
        <v>28</v>
      </c>
    </row>
    <row r="2209" spans="2:12" ht="15.75" customHeight="1">
      <c r="B2209" t="s">
        <v>99</v>
      </c>
      <c r="C2209" s="3" t="s">
        <v>100</v>
      </c>
      <c r="D2209" s="1" t="s">
        <v>124</v>
      </c>
      <c r="E2209">
        <v>260</v>
      </c>
      <c r="F2209">
        <v>1</v>
      </c>
      <c r="G2209" s="32">
        <v>2</v>
      </c>
      <c r="H2209">
        <v>1</v>
      </c>
      <c r="J2209" t="s">
        <v>19</v>
      </c>
      <c r="K2209" t="s">
        <v>20</v>
      </c>
      <c r="L2209" t="s">
        <v>26</v>
      </c>
    </row>
    <row r="2210" spans="2:12" ht="15.75" customHeight="1">
      <c r="B2210" t="s">
        <v>99</v>
      </c>
      <c r="C2210" s="3" t="s">
        <v>100</v>
      </c>
      <c r="D2210" s="1" t="s">
        <v>124</v>
      </c>
      <c r="E2210">
        <v>260</v>
      </c>
      <c r="F2210">
        <v>2</v>
      </c>
      <c r="G2210" s="32">
        <v>1</v>
      </c>
      <c r="H2210">
        <v>1</v>
      </c>
      <c r="J2210" t="s">
        <v>52</v>
      </c>
      <c r="K2210" t="s">
        <v>108</v>
      </c>
      <c r="L2210" t="s">
        <v>28</v>
      </c>
    </row>
    <row r="2211" spans="2:12" ht="15.75" customHeight="1">
      <c r="B2211" t="s">
        <v>99</v>
      </c>
      <c r="C2211" s="3" t="s">
        <v>100</v>
      </c>
      <c r="D2211" s="1" t="s">
        <v>124</v>
      </c>
      <c r="E2211">
        <v>270</v>
      </c>
      <c r="F2211">
        <v>1</v>
      </c>
      <c r="G2211" s="32">
        <v>1</v>
      </c>
      <c r="H2211">
        <v>1</v>
      </c>
      <c r="J2211" t="s">
        <v>52</v>
      </c>
      <c r="K2211" t="s">
        <v>108</v>
      </c>
      <c r="L2211" t="s">
        <v>28</v>
      </c>
    </row>
    <row r="2212" spans="2:12" ht="15.75" customHeight="1">
      <c r="D2212" s="34" t="s">
        <v>124</v>
      </c>
      <c r="E2212">
        <v>280</v>
      </c>
      <c r="F2212">
        <v>1</v>
      </c>
      <c r="H2212">
        <v>2</v>
      </c>
      <c r="J2212" t="s">
        <v>19</v>
      </c>
      <c r="K2212" t="s">
        <v>20</v>
      </c>
      <c r="L2212" t="s">
        <v>26</v>
      </c>
    </row>
    <row r="2213" spans="2:12" ht="15.75" customHeight="1">
      <c r="D2213" s="34" t="s">
        <v>124</v>
      </c>
      <c r="E2213">
        <v>290</v>
      </c>
      <c r="F2213">
        <v>0</v>
      </c>
    </row>
    <row r="2214" spans="2:12" ht="15.75" customHeight="1">
      <c r="B2214" t="s">
        <v>99</v>
      </c>
      <c r="C2214" s="3" t="s">
        <v>100</v>
      </c>
      <c r="D2214" s="1" t="s">
        <v>124</v>
      </c>
      <c r="E2214">
        <v>300</v>
      </c>
      <c r="F2214">
        <v>1</v>
      </c>
      <c r="G2214" s="32">
        <v>1</v>
      </c>
      <c r="H2214">
        <v>1</v>
      </c>
      <c r="J2214" t="s">
        <v>101</v>
      </c>
      <c r="K2214" t="s">
        <v>36</v>
      </c>
      <c r="L2214" t="s">
        <v>28</v>
      </c>
    </row>
    <row r="2215" spans="2:12" ht="15.75" customHeight="1">
      <c r="D2215" s="34" t="s">
        <v>124</v>
      </c>
      <c r="E2215">
        <v>310</v>
      </c>
      <c r="F2215">
        <v>0</v>
      </c>
    </row>
    <row r="2216" spans="2:12" ht="15.75" customHeight="1">
      <c r="D2216" s="34" t="s">
        <v>124</v>
      </c>
      <c r="E2216">
        <v>320</v>
      </c>
      <c r="F2216">
        <v>1</v>
      </c>
      <c r="H2216">
        <v>2</v>
      </c>
      <c r="J2216" t="s">
        <v>103</v>
      </c>
      <c r="K2216" t="s">
        <v>27</v>
      </c>
      <c r="L2216" t="s">
        <v>28</v>
      </c>
    </row>
    <row r="2217" spans="2:12" ht="15.75" customHeight="1">
      <c r="D2217" s="34" t="s">
        <v>124</v>
      </c>
      <c r="E2217">
        <v>330</v>
      </c>
      <c r="F2217">
        <v>0</v>
      </c>
    </row>
    <row r="2218" spans="2:12" ht="15.75" customHeight="1">
      <c r="D2218" s="34" t="s">
        <v>124</v>
      </c>
      <c r="E2218">
        <v>340</v>
      </c>
      <c r="F2218">
        <v>1</v>
      </c>
      <c r="H2218">
        <v>0</v>
      </c>
      <c r="J2218" t="s">
        <v>19</v>
      </c>
      <c r="L2218" t="s">
        <v>26</v>
      </c>
    </row>
    <row r="2219" spans="2:12" ht="15.75" customHeight="1">
      <c r="D2219" s="34" t="s">
        <v>124</v>
      </c>
      <c r="E2219">
        <v>350</v>
      </c>
      <c r="F2219">
        <v>1</v>
      </c>
      <c r="H2219">
        <v>2</v>
      </c>
      <c r="J2219" t="s">
        <v>19</v>
      </c>
      <c r="K2219" t="s">
        <v>20</v>
      </c>
      <c r="L2219" t="s">
        <v>26</v>
      </c>
    </row>
    <row r="2220" spans="2:12" ht="15.75" customHeight="1">
      <c r="D2220" s="34" t="s">
        <v>124</v>
      </c>
      <c r="E2220">
        <v>350</v>
      </c>
      <c r="F2220">
        <v>2</v>
      </c>
      <c r="H2220">
        <v>0</v>
      </c>
      <c r="J2220" t="s">
        <v>57</v>
      </c>
      <c r="L2220" t="s">
        <v>28</v>
      </c>
    </row>
    <row r="2221" spans="2:12" ht="15.75" customHeight="1">
      <c r="B2221" t="s">
        <v>99</v>
      </c>
      <c r="C2221" s="3" t="s">
        <v>100</v>
      </c>
      <c r="D2221" s="1" t="s">
        <v>124</v>
      </c>
      <c r="E2221">
        <v>360</v>
      </c>
      <c r="F2221">
        <v>1</v>
      </c>
      <c r="G2221" s="32">
        <v>2</v>
      </c>
      <c r="H2221">
        <v>1</v>
      </c>
      <c r="J2221" t="s">
        <v>19</v>
      </c>
      <c r="K2221" t="s">
        <v>20</v>
      </c>
      <c r="L2221" t="s">
        <v>26</v>
      </c>
    </row>
    <row r="2222" spans="2:12" ht="15.75" customHeight="1">
      <c r="B2222" t="s">
        <v>99</v>
      </c>
      <c r="C2222" s="3" t="s">
        <v>100</v>
      </c>
      <c r="D2222" s="1" t="s">
        <v>124</v>
      </c>
      <c r="E2222">
        <v>360</v>
      </c>
      <c r="F2222">
        <v>2</v>
      </c>
      <c r="G2222" s="32">
        <v>1</v>
      </c>
      <c r="H2222">
        <v>2</v>
      </c>
      <c r="J2222" t="s">
        <v>47</v>
      </c>
      <c r="K2222" t="s">
        <v>47</v>
      </c>
      <c r="L2222" t="s">
        <v>28</v>
      </c>
    </row>
    <row r="2223" spans="2:12" ht="15.75" customHeight="1">
      <c r="B2223" t="s">
        <v>99</v>
      </c>
      <c r="C2223" s="3" t="s">
        <v>100</v>
      </c>
      <c r="D2223" s="1" t="s">
        <v>124</v>
      </c>
      <c r="E2223">
        <v>370</v>
      </c>
      <c r="F2223">
        <v>1</v>
      </c>
      <c r="G2223" s="32">
        <v>1</v>
      </c>
      <c r="H2223">
        <v>1</v>
      </c>
      <c r="J2223" t="s">
        <v>19</v>
      </c>
      <c r="K2223" t="s">
        <v>20</v>
      </c>
      <c r="L2223" t="s">
        <v>26</v>
      </c>
    </row>
    <row r="2224" spans="2:12" ht="15.75" customHeight="1">
      <c r="B2224" t="s">
        <v>99</v>
      </c>
      <c r="C2224" s="3" t="s">
        <v>100</v>
      </c>
      <c r="D2224" s="1" t="s">
        <v>124</v>
      </c>
      <c r="E2224">
        <v>370</v>
      </c>
      <c r="F2224">
        <v>2</v>
      </c>
      <c r="G2224" s="32">
        <v>2</v>
      </c>
      <c r="H2224">
        <v>2</v>
      </c>
      <c r="J2224" t="s">
        <v>47</v>
      </c>
      <c r="K2224" t="s">
        <v>47</v>
      </c>
      <c r="L2224" t="s">
        <v>28</v>
      </c>
    </row>
    <row r="2225" spans="2:12" ht="15.75" customHeight="1">
      <c r="B2225" t="s">
        <v>99</v>
      </c>
      <c r="C2225" s="3" t="s">
        <v>100</v>
      </c>
      <c r="D2225" s="1" t="s">
        <v>124</v>
      </c>
      <c r="E2225">
        <v>380</v>
      </c>
      <c r="F2225">
        <v>1</v>
      </c>
      <c r="G2225" s="32">
        <v>1</v>
      </c>
      <c r="H2225">
        <v>1</v>
      </c>
      <c r="J2225" t="s">
        <v>19</v>
      </c>
      <c r="K2225" t="s">
        <v>20</v>
      </c>
      <c r="L2225" t="s">
        <v>26</v>
      </c>
    </row>
    <row r="2226" spans="2:12" ht="15.75" customHeight="1">
      <c r="B2226" t="s">
        <v>99</v>
      </c>
      <c r="C2226" s="3" t="s">
        <v>100</v>
      </c>
      <c r="D2226" s="1" t="s">
        <v>124</v>
      </c>
      <c r="E2226">
        <v>380</v>
      </c>
      <c r="F2226">
        <v>2</v>
      </c>
      <c r="G2226" s="32">
        <v>2</v>
      </c>
      <c r="H2226">
        <v>2</v>
      </c>
      <c r="J2226" t="s">
        <v>101</v>
      </c>
      <c r="K2226" t="s">
        <v>36</v>
      </c>
      <c r="L2226" t="s">
        <v>28</v>
      </c>
    </row>
    <row r="2227" spans="2:12" ht="15.75" customHeight="1">
      <c r="B2227" t="s">
        <v>99</v>
      </c>
      <c r="C2227" s="3" t="s">
        <v>100</v>
      </c>
      <c r="D2227" s="1" t="s">
        <v>124</v>
      </c>
      <c r="E2227">
        <v>390</v>
      </c>
      <c r="F2227">
        <v>1</v>
      </c>
      <c r="G2227" s="32">
        <v>1</v>
      </c>
      <c r="H2227">
        <v>1</v>
      </c>
      <c r="J2227" t="s">
        <v>19</v>
      </c>
      <c r="K2227" t="s">
        <v>20</v>
      </c>
      <c r="L2227" t="s">
        <v>26</v>
      </c>
    </row>
    <row r="2228" spans="2:12" ht="15.75" customHeight="1">
      <c r="B2228" t="s">
        <v>99</v>
      </c>
      <c r="C2228" s="3" t="s">
        <v>100</v>
      </c>
      <c r="D2228" s="1" t="s">
        <v>124</v>
      </c>
      <c r="E2228">
        <v>390</v>
      </c>
      <c r="F2228">
        <v>2</v>
      </c>
      <c r="G2228" s="32">
        <v>0</v>
      </c>
      <c r="H2228">
        <v>0</v>
      </c>
      <c r="J2228" t="s">
        <v>101</v>
      </c>
      <c r="L2228" t="s">
        <v>28</v>
      </c>
    </row>
    <row r="2229" spans="2:12" ht="15.75" customHeight="1">
      <c r="B2229" t="s">
        <v>99</v>
      </c>
      <c r="C2229" s="3" t="s">
        <v>100</v>
      </c>
      <c r="D2229" s="1" t="s">
        <v>124</v>
      </c>
      <c r="E2229">
        <v>400</v>
      </c>
      <c r="F2229">
        <v>1</v>
      </c>
      <c r="G2229" s="32">
        <v>1</v>
      </c>
      <c r="H2229">
        <v>2</v>
      </c>
      <c r="J2229" t="s">
        <v>101</v>
      </c>
      <c r="K2229" t="s">
        <v>36</v>
      </c>
      <c r="L2229" t="s">
        <v>28</v>
      </c>
    </row>
    <row r="2230" spans="2:12" ht="15.75" customHeight="1">
      <c r="B2230" t="s">
        <v>99</v>
      </c>
      <c r="C2230" s="3" t="s">
        <v>100</v>
      </c>
      <c r="D2230" s="1" t="s">
        <v>124</v>
      </c>
      <c r="E2230">
        <v>410</v>
      </c>
      <c r="F2230">
        <v>1</v>
      </c>
      <c r="G2230" s="32">
        <v>1</v>
      </c>
      <c r="H2230">
        <v>1</v>
      </c>
      <c r="J2230" t="s">
        <v>19</v>
      </c>
      <c r="K2230" t="s">
        <v>20</v>
      </c>
      <c r="L2230" t="s">
        <v>26</v>
      </c>
    </row>
    <row r="2231" spans="2:12" ht="15.75" customHeight="1">
      <c r="B2231" t="s">
        <v>99</v>
      </c>
      <c r="C2231" s="3" t="s">
        <v>100</v>
      </c>
      <c r="D2231" s="1" t="s">
        <v>124</v>
      </c>
      <c r="E2231">
        <v>410</v>
      </c>
      <c r="F2231">
        <v>2</v>
      </c>
      <c r="G2231" s="32">
        <v>1</v>
      </c>
      <c r="H2231">
        <v>2</v>
      </c>
      <c r="J2231" t="s">
        <v>101</v>
      </c>
      <c r="K2231" t="s">
        <v>36</v>
      </c>
      <c r="L2231" t="s">
        <v>28</v>
      </c>
    </row>
    <row r="2232" spans="2:12" ht="15.75" customHeight="1">
      <c r="D2232" s="34" t="s">
        <v>124</v>
      </c>
      <c r="E2232">
        <v>420</v>
      </c>
      <c r="F2232">
        <v>0</v>
      </c>
    </row>
    <row r="2233" spans="2:12" ht="15.75" customHeight="1">
      <c r="D2233" s="34" t="s">
        <v>124</v>
      </c>
      <c r="E2233">
        <v>430</v>
      </c>
      <c r="F2233">
        <v>1</v>
      </c>
      <c r="H2233">
        <v>2</v>
      </c>
      <c r="J2233" t="s">
        <v>19</v>
      </c>
      <c r="K2233" t="s">
        <v>20</v>
      </c>
      <c r="L2233" t="s">
        <v>26</v>
      </c>
    </row>
    <row r="2234" spans="2:12" ht="15.75" customHeight="1">
      <c r="D2234" s="34" t="s">
        <v>124</v>
      </c>
      <c r="E2234">
        <v>430</v>
      </c>
      <c r="F2234">
        <v>2</v>
      </c>
      <c r="H2234">
        <v>2</v>
      </c>
      <c r="J2234" t="s">
        <v>103</v>
      </c>
      <c r="K2234" t="s">
        <v>27</v>
      </c>
      <c r="L2234" t="s">
        <v>28</v>
      </c>
    </row>
    <row r="2235" spans="2:12" ht="15.75" customHeight="1">
      <c r="D2235" s="34" t="s">
        <v>124</v>
      </c>
      <c r="E2235">
        <v>440</v>
      </c>
      <c r="F2235">
        <v>1</v>
      </c>
      <c r="H2235">
        <v>2</v>
      </c>
      <c r="J2235" t="s">
        <v>19</v>
      </c>
      <c r="K2235" t="s">
        <v>20</v>
      </c>
      <c r="L2235" t="s">
        <v>26</v>
      </c>
    </row>
    <row r="2236" spans="2:12" ht="15.75" customHeight="1">
      <c r="D2236" s="34" t="s">
        <v>124</v>
      </c>
      <c r="E2236">
        <v>440</v>
      </c>
      <c r="F2236">
        <v>2</v>
      </c>
      <c r="H2236">
        <v>2</v>
      </c>
      <c r="J2236" t="s">
        <v>103</v>
      </c>
      <c r="K2236" t="s">
        <v>27</v>
      </c>
      <c r="L2236" t="s">
        <v>28</v>
      </c>
    </row>
    <row r="2237" spans="2:12" ht="15.75" customHeight="1">
      <c r="D2237" s="34" t="s">
        <v>124</v>
      </c>
      <c r="E2237">
        <v>450</v>
      </c>
      <c r="F2237">
        <v>1</v>
      </c>
      <c r="H2237">
        <v>2</v>
      </c>
      <c r="J2237" t="s">
        <v>19</v>
      </c>
      <c r="K2237" t="s">
        <v>20</v>
      </c>
      <c r="L2237" t="s">
        <v>26</v>
      </c>
    </row>
    <row r="2238" spans="2:12" ht="15.75" customHeight="1">
      <c r="D2238" s="34" t="s">
        <v>124</v>
      </c>
      <c r="E2238">
        <v>450</v>
      </c>
      <c r="F2238">
        <v>2</v>
      </c>
      <c r="H2238">
        <v>2</v>
      </c>
      <c r="J2238" t="s">
        <v>103</v>
      </c>
      <c r="K2238" t="s">
        <v>27</v>
      </c>
      <c r="L2238" t="s">
        <v>28</v>
      </c>
    </row>
    <row r="2239" spans="2:12" ht="15.75" customHeight="1">
      <c r="D2239" s="34" t="s">
        <v>124</v>
      </c>
      <c r="E2239">
        <v>460</v>
      </c>
      <c r="F2239">
        <v>1</v>
      </c>
      <c r="I2239" t="s">
        <v>85</v>
      </c>
    </row>
    <row r="2240" spans="2:12" ht="15.75" customHeight="1">
      <c r="D2240" s="34" t="s">
        <v>124</v>
      </c>
      <c r="E2240">
        <v>470</v>
      </c>
      <c r="F2240">
        <v>1</v>
      </c>
      <c r="H2240">
        <v>2</v>
      </c>
      <c r="J2240" t="s">
        <v>19</v>
      </c>
      <c r="K2240" t="s">
        <v>20</v>
      </c>
      <c r="L2240" t="s">
        <v>26</v>
      </c>
    </row>
    <row r="2241" spans="2:12" ht="15.75" customHeight="1">
      <c r="D2241" s="34" t="s">
        <v>124</v>
      </c>
      <c r="E2241">
        <v>470</v>
      </c>
      <c r="F2241">
        <v>1</v>
      </c>
      <c r="H2241">
        <v>0</v>
      </c>
      <c r="J2241" t="s">
        <v>38</v>
      </c>
      <c r="L2241" t="s">
        <v>28</v>
      </c>
    </row>
    <row r="2242" spans="2:12" ht="15.75" customHeight="1">
      <c r="D2242" s="34" t="s">
        <v>124</v>
      </c>
      <c r="E2242">
        <v>480</v>
      </c>
      <c r="F2242">
        <v>1</v>
      </c>
      <c r="H2242">
        <v>2</v>
      </c>
      <c r="J2242" t="s">
        <v>19</v>
      </c>
      <c r="K2242" t="s">
        <v>20</v>
      </c>
      <c r="L2242" t="s">
        <v>26</v>
      </c>
    </row>
    <row r="2243" spans="2:12" ht="15.75" customHeight="1">
      <c r="D2243" s="34" t="s">
        <v>124</v>
      </c>
      <c r="E2243">
        <v>480</v>
      </c>
      <c r="F2243">
        <v>2</v>
      </c>
      <c r="H2243">
        <v>0</v>
      </c>
      <c r="J2243" t="s">
        <v>38</v>
      </c>
      <c r="L2243" t="s">
        <v>28</v>
      </c>
    </row>
    <row r="2244" spans="2:12" ht="15.75" customHeight="1">
      <c r="D2244" s="34" t="s">
        <v>124</v>
      </c>
      <c r="E2244">
        <v>490</v>
      </c>
      <c r="F2244">
        <v>1</v>
      </c>
      <c r="H2244">
        <v>2</v>
      </c>
      <c r="J2244" t="s">
        <v>19</v>
      </c>
      <c r="K2244" t="s">
        <v>20</v>
      </c>
      <c r="L2244" t="s">
        <v>26</v>
      </c>
    </row>
    <row r="2245" spans="2:12" ht="15.75" customHeight="1">
      <c r="D2245" s="34" t="s">
        <v>124</v>
      </c>
      <c r="E2245">
        <v>490</v>
      </c>
      <c r="F2245">
        <v>2</v>
      </c>
      <c r="H2245">
        <v>2</v>
      </c>
      <c r="J2245" t="s">
        <v>57</v>
      </c>
      <c r="K2245" t="s">
        <v>34</v>
      </c>
      <c r="L2245" t="s">
        <v>28</v>
      </c>
    </row>
    <row r="2246" spans="2:12" ht="15.75" customHeight="1">
      <c r="D2246" s="34" t="s">
        <v>124</v>
      </c>
      <c r="E2246">
        <v>500</v>
      </c>
      <c r="F2246">
        <v>1</v>
      </c>
      <c r="H2246">
        <v>2</v>
      </c>
      <c r="J2246" t="s">
        <v>19</v>
      </c>
      <c r="K2246" t="s">
        <v>20</v>
      </c>
      <c r="L2246" t="s">
        <v>26</v>
      </c>
    </row>
    <row r="2247" spans="2:12" ht="15.75" customHeight="1">
      <c r="D2247" s="34" t="s">
        <v>124</v>
      </c>
      <c r="E2247">
        <v>500</v>
      </c>
      <c r="F2247">
        <v>2</v>
      </c>
      <c r="H2247">
        <v>2</v>
      </c>
      <c r="J2247" t="s">
        <v>57</v>
      </c>
      <c r="K2247" t="s">
        <v>34</v>
      </c>
      <c r="L2247" t="s">
        <v>28</v>
      </c>
    </row>
    <row r="2248" spans="2:12" ht="15.75" customHeight="1">
      <c r="B2248" t="s">
        <v>99</v>
      </c>
      <c r="C2248" s="3" t="s">
        <v>100</v>
      </c>
      <c r="D2248" s="1" t="s">
        <v>124</v>
      </c>
      <c r="E2248">
        <v>510</v>
      </c>
      <c r="F2248">
        <v>1</v>
      </c>
      <c r="G2248" s="32">
        <v>1</v>
      </c>
      <c r="H2248">
        <v>1</v>
      </c>
      <c r="J2248" t="s">
        <v>19</v>
      </c>
      <c r="K2248" t="s">
        <v>20</v>
      </c>
      <c r="L2248" t="s">
        <v>26</v>
      </c>
    </row>
    <row r="2249" spans="2:12" ht="15.75" customHeight="1">
      <c r="B2249" t="s">
        <v>99</v>
      </c>
      <c r="C2249" s="3" t="s">
        <v>100</v>
      </c>
      <c r="D2249" s="1" t="s">
        <v>124</v>
      </c>
      <c r="E2249">
        <v>510</v>
      </c>
      <c r="F2249">
        <v>2</v>
      </c>
      <c r="G2249" s="32">
        <v>2</v>
      </c>
      <c r="H2249">
        <v>1</v>
      </c>
      <c r="J2249" t="s">
        <v>42</v>
      </c>
      <c r="K2249" t="s">
        <v>20</v>
      </c>
      <c r="L2249" t="s">
        <v>26</v>
      </c>
    </row>
    <row r="2250" spans="2:12" ht="15.75" customHeight="1">
      <c r="B2250" t="s">
        <v>99</v>
      </c>
      <c r="C2250" s="3" t="s">
        <v>100</v>
      </c>
      <c r="D2250" s="1" t="s">
        <v>124</v>
      </c>
      <c r="E2250">
        <v>510</v>
      </c>
      <c r="F2250">
        <v>3</v>
      </c>
      <c r="G2250" s="32">
        <v>0</v>
      </c>
      <c r="H2250">
        <v>0</v>
      </c>
      <c r="J2250" t="s">
        <v>47</v>
      </c>
      <c r="L2250" t="s">
        <v>28</v>
      </c>
    </row>
    <row r="2251" spans="2:12" ht="15.75" customHeight="1">
      <c r="D2251" s="34" t="s">
        <v>124</v>
      </c>
      <c r="E2251">
        <v>520</v>
      </c>
      <c r="F2251">
        <v>1</v>
      </c>
      <c r="H2251">
        <v>2</v>
      </c>
      <c r="J2251" t="s">
        <v>19</v>
      </c>
      <c r="K2251" t="s">
        <v>20</v>
      </c>
      <c r="L2251" t="s">
        <v>26</v>
      </c>
    </row>
    <row r="2252" spans="2:12" ht="15.75" customHeight="1">
      <c r="D2252" s="34" t="s">
        <v>124</v>
      </c>
      <c r="E2252">
        <v>520</v>
      </c>
      <c r="F2252">
        <v>2</v>
      </c>
      <c r="H2252">
        <v>2</v>
      </c>
      <c r="J2252" t="s">
        <v>57</v>
      </c>
      <c r="K2252" t="s">
        <v>34</v>
      </c>
      <c r="L2252" t="s">
        <v>28</v>
      </c>
    </row>
    <row r="2253" spans="2:12" ht="15.75" customHeight="1">
      <c r="D2253" s="34" t="s">
        <v>124</v>
      </c>
      <c r="E2253">
        <v>530</v>
      </c>
      <c r="F2253">
        <v>1</v>
      </c>
      <c r="H2253">
        <v>2</v>
      </c>
      <c r="J2253" t="s">
        <v>19</v>
      </c>
      <c r="K2253" t="s">
        <v>20</v>
      </c>
      <c r="L2253" t="s">
        <v>26</v>
      </c>
    </row>
    <row r="2254" spans="2:12" ht="15.75" customHeight="1">
      <c r="D2254" s="34" t="s">
        <v>124</v>
      </c>
      <c r="E2254">
        <v>530</v>
      </c>
      <c r="F2254">
        <v>2</v>
      </c>
      <c r="H2254">
        <v>0</v>
      </c>
      <c r="J2254" t="s">
        <v>57</v>
      </c>
      <c r="L2254" t="s">
        <v>28</v>
      </c>
    </row>
    <row r="2255" spans="2:12" ht="15.75" customHeight="1">
      <c r="D2255" s="34" t="s">
        <v>124</v>
      </c>
      <c r="E2255">
        <v>540</v>
      </c>
      <c r="I2255" t="s">
        <v>85</v>
      </c>
    </row>
    <row r="2256" spans="2:12" ht="15.75" customHeight="1">
      <c r="D2256" s="34" t="s">
        <v>124</v>
      </c>
      <c r="E2256">
        <v>550</v>
      </c>
      <c r="F2256">
        <v>1</v>
      </c>
      <c r="H2256">
        <v>2</v>
      </c>
      <c r="J2256" t="s">
        <v>19</v>
      </c>
      <c r="K2256" t="s">
        <v>20</v>
      </c>
      <c r="L2256" t="s">
        <v>26</v>
      </c>
    </row>
    <row r="2257" spans="2:12" ht="15.75" customHeight="1">
      <c r="D2257" s="34" t="s">
        <v>124</v>
      </c>
      <c r="E2257">
        <v>560</v>
      </c>
      <c r="F2257">
        <v>1</v>
      </c>
      <c r="H2257">
        <v>0</v>
      </c>
      <c r="J2257" t="s">
        <v>53</v>
      </c>
      <c r="L2257" t="s">
        <v>28</v>
      </c>
    </row>
    <row r="2258" spans="2:12" ht="15.75" customHeight="1">
      <c r="D2258" s="34" t="s">
        <v>124</v>
      </c>
      <c r="E2258">
        <v>570</v>
      </c>
      <c r="F2258">
        <v>1</v>
      </c>
      <c r="H2258">
        <v>2</v>
      </c>
      <c r="I2258" t="s">
        <v>70</v>
      </c>
      <c r="J2258" t="s">
        <v>19</v>
      </c>
      <c r="K2258" t="s">
        <v>20</v>
      </c>
      <c r="L2258" t="s">
        <v>26</v>
      </c>
    </row>
    <row r="2259" spans="2:12" ht="15.75" customHeight="1">
      <c r="D2259" s="34" t="s">
        <v>124</v>
      </c>
      <c r="E2259">
        <v>570</v>
      </c>
      <c r="F2259">
        <v>2</v>
      </c>
      <c r="H2259">
        <v>2</v>
      </c>
      <c r="J2259" t="s">
        <v>53</v>
      </c>
      <c r="K2259" t="s">
        <v>34</v>
      </c>
      <c r="L2259" t="s">
        <v>28</v>
      </c>
    </row>
    <row r="2260" spans="2:12" ht="15.75" customHeight="1">
      <c r="D2260" s="34" t="s">
        <v>124</v>
      </c>
      <c r="E2260">
        <v>580</v>
      </c>
      <c r="F2260">
        <v>1</v>
      </c>
      <c r="H2260">
        <v>2</v>
      </c>
      <c r="J2260" t="s">
        <v>19</v>
      </c>
      <c r="K2260" t="s">
        <v>20</v>
      </c>
      <c r="L2260" t="s">
        <v>26</v>
      </c>
    </row>
    <row r="2261" spans="2:12" ht="15.75" customHeight="1">
      <c r="D2261" s="34" t="s">
        <v>124</v>
      </c>
      <c r="E2261">
        <v>580</v>
      </c>
      <c r="F2261">
        <v>2</v>
      </c>
      <c r="H2261">
        <v>0</v>
      </c>
      <c r="J2261" t="s">
        <v>53</v>
      </c>
      <c r="L2261" t="s">
        <v>28</v>
      </c>
    </row>
    <row r="2262" spans="2:12" ht="15.75" customHeight="1">
      <c r="B2262" t="s">
        <v>99</v>
      </c>
      <c r="C2262" s="3" t="s">
        <v>100</v>
      </c>
      <c r="D2262" s="1" t="s">
        <v>124</v>
      </c>
      <c r="E2262">
        <v>590</v>
      </c>
      <c r="F2262">
        <v>1</v>
      </c>
      <c r="G2262" s="32">
        <v>1</v>
      </c>
      <c r="H2262">
        <v>2</v>
      </c>
      <c r="J2262" t="s">
        <v>52</v>
      </c>
      <c r="K2262" t="s">
        <v>108</v>
      </c>
      <c r="L2262" t="s">
        <v>28</v>
      </c>
    </row>
    <row r="2263" spans="2:12" ht="15.75" customHeight="1">
      <c r="D2263" s="34" t="s">
        <v>124</v>
      </c>
      <c r="E2263">
        <v>600</v>
      </c>
      <c r="F2263">
        <v>1</v>
      </c>
      <c r="H2263">
        <v>2</v>
      </c>
      <c r="J2263" t="s">
        <v>19</v>
      </c>
      <c r="K2263" t="s">
        <v>20</v>
      </c>
      <c r="L2263" t="s">
        <v>26</v>
      </c>
    </row>
    <row r="2264" spans="2:12" ht="15.75" customHeight="1">
      <c r="D2264" s="34" t="s">
        <v>124</v>
      </c>
      <c r="E2264">
        <v>600</v>
      </c>
      <c r="F2264">
        <v>2</v>
      </c>
      <c r="H2264">
        <v>2</v>
      </c>
      <c r="J2264" t="s">
        <v>53</v>
      </c>
      <c r="L2264" t="s">
        <v>28</v>
      </c>
    </row>
    <row r="2265" spans="2:12" ht="15.75" customHeight="1">
      <c r="D2265" s="34" t="s">
        <v>124</v>
      </c>
      <c r="E2265">
        <v>610</v>
      </c>
      <c r="F2265">
        <v>1</v>
      </c>
      <c r="H2265">
        <v>2</v>
      </c>
      <c r="J2265" t="s">
        <v>19</v>
      </c>
      <c r="K2265" t="s">
        <v>20</v>
      </c>
      <c r="L2265" t="s">
        <v>26</v>
      </c>
    </row>
    <row r="2266" spans="2:12" ht="15.75" customHeight="1">
      <c r="D2266" s="34" t="s">
        <v>124</v>
      </c>
      <c r="E2266">
        <v>610</v>
      </c>
      <c r="F2266">
        <v>2</v>
      </c>
      <c r="H2266">
        <v>0</v>
      </c>
      <c r="J2266" t="s">
        <v>53</v>
      </c>
      <c r="L2266" t="s">
        <v>28</v>
      </c>
    </row>
    <row r="2267" spans="2:12" ht="15.75" customHeight="1">
      <c r="D2267" s="34" t="s">
        <v>124</v>
      </c>
      <c r="E2267">
        <v>620</v>
      </c>
      <c r="F2267">
        <v>1</v>
      </c>
      <c r="H2267">
        <v>2</v>
      </c>
      <c r="J2267" t="s">
        <v>53</v>
      </c>
      <c r="K2267" t="s">
        <v>34</v>
      </c>
      <c r="L2267" t="s">
        <v>28</v>
      </c>
    </row>
    <row r="2268" spans="2:12" ht="15.75" customHeight="1">
      <c r="D2268" s="34" t="s">
        <v>124</v>
      </c>
      <c r="E2268">
        <v>630</v>
      </c>
      <c r="F2268">
        <v>1</v>
      </c>
      <c r="H2268">
        <v>2</v>
      </c>
      <c r="J2268" t="s">
        <v>19</v>
      </c>
      <c r="K2268" t="s">
        <v>20</v>
      </c>
      <c r="L2268" t="s">
        <v>26</v>
      </c>
    </row>
    <row r="2269" spans="2:12" ht="15.75" customHeight="1">
      <c r="D2269" s="34" t="s">
        <v>124</v>
      </c>
      <c r="E2269">
        <v>630</v>
      </c>
      <c r="F2269">
        <v>2</v>
      </c>
      <c r="H2269">
        <v>2</v>
      </c>
      <c r="J2269" t="s">
        <v>103</v>
      </c>
      <c r="K2269" t="s">
        <v>34</v>
      </c>
      <c r="L2269" t="s">
        <v>28</v>
      </c>
    </row>
    <row r="2270" spans="2:12" ht="15.75" customHeight="1">
      <c r="D2270" s="34" t="s">
        <v>124</v>
      </c>
      <c r="E2270">
        <v>640</v>
      </c>
      <c r="F2270">
        <v>0</v>
      </c>
    </row>
    <row r="2271" spans="2:12" ht="15.75" customHeight="1">
      <c r="D2271" s="34" t="s">
        <v>124</v>
      </c>
      <c r="E2271">
        <v>650</v>
      </c>
      <c r="F2271">
        <v>1</v>
      </c>
      <c r="H2271">
        <v>2</v>
      </c>
      <c r="J2271" t="s">
        <v>103</v>
      </c>
      <c r="K2271" t="s">
        <v>27</v>
      </c>
      <c r="L2271" t="s">
        <v>28</v>
      </c>
    </row>
    <row r="2272" spans="2:12" ht="15.75" customHeight="1">
      <c r="B2272" t="s">
        <v>99</v>
      </c>
      <c r="C2272" s="3" t="s">
        <v>100</v>
      </c>
      <c r="D2272" s="1" t="s">
        <v>124</v>
      </c>
      <c r="E2272">
        <v>660</v>
      </c>
      <c r="F2272">
        <v>1</v>
      </c>
      <c r="G2272" s="32">
        <v>1</v>
      </c>
      <c r="H2272">
        <v>1</v>
      </c>
      <c r="J2272" t="s">
        <v>19</v>
      </c>
      <c r="K2272" t="s">
        <v>20</v>
      </c>
      <c r="L2272" t="s">
        <v>26</v>
      </c>
    </row>
    <row r="2273" spans="2:12" ht="15.75" customHeight="1">
      <c r="B2273" t="s">
        <v>99</v>
      </c>
      <c r="C2273" s="3" t="s">
        <v>100</v>
      </c>
      <c r="D2273" s="1" t="s">
        <v>124</v>
      </c>
      <c r="E2273">
        <v>660</v>
      </c>
      <c r="F2273">
        <v>2</v>
      </c>
      <c r="G2273" s="32">
        <v>1</v>
      </c>
      <c r="H2273">
        <v>2</v>
      </c>
      <c r="J2273" t="s">
        <v>42</v>
      </c>
      <c r="K2273" t="s">
        <v>20</v>
      </c>
      <c r="L2273" t="s">
        <v>26</v>
      </c>
    </row>
    <row r="2274" spans="2:12" ht="15.75" customHeight="1">
      <c r="D2274" s="34" t="s">
        <v>124</v>
      </c>
      <c r="E2274">
        <v>670</v>
      </c>
      <c r="F2274">
        <v>1</v>
      </c>
      <c r="H2274">
        <v>2</v>
      </c>
      <c r="J2274" t="s">
        <v>19</v>
      </c>
      <c r="K2274" t="s">
        <v>20</v>
      </c>
      <c r="L2274" t="s">
        <v>26</v>
      </c>
    </row>
    <row r="2275" spans="2:12" ht="15.75" customHeight="1">
      <c r="D2275" s="34" t="s">
        <v>124</v>
      </c>
      <c r="E2275">
        <v>670</v>
      </c>
      <c r="F2275">
        <v>2</v>
      </c>
      <c r="H2275">
        <v>2</v>
      </c>
      <c r="J2275" t="s">
        <v>103</v>
      </c>
      <c r="K2275" t="s">
        <v>27</v>
      </c>
      <c r="L2275" t="s">
        <v>28</v>
      </c>
    </row>
    <row r="2276" spans="2:12" ht="15.75" customHeight="1">
      <c r="D2276" s="34" t="s">
        <v>124</v>
      </c>
      <c r="E2276">
        <v>680</v>
      </c>
      <c r="F2276">
        <v>1</v>
      </c>
      <c r="H2276">
        <v>2</v>
      </c>
      <c r="J2276" t="s">
        <v>19</v>
      </c>
      <c r="K2276" t="s">
        <v>20</v>
      </c>
      <c r="L2276" t="s">
        <v>26</v>
      </c>
    </row>
    <row r="2277" spans="2:12" ht="15.75" customHeight="1">
      <c r="D2277" s="34" t="s">
        <v>124</v>
      </c>
      <c r="E2277">
        <v>680</v>
      </c>
      <c r="F2277">
        <v>2</v>
      </c>
      <c r="H2277">
        <v>2</v>
      </c>
      <c r="J2277" t="s">
        <v>38</v>
      </c>
      <c r="K2277" t="s">
        <v>34</v>
      </c>
      <c r="L2277" t="s">
        <v>28</v>
      </c>
    </row>
    <row r="2278" spans="2:12" ht="15.75" customHeight="1">
      <c r="B2278" t="s">
        <v>99</v>
      </c>
      <c r="C2278" s="3" t="s">
        <v>100</v>
      </c>
      <c r="D2278" s="1" t="s">
        <v>124</v>
      </c>
      <c r="E2278">
        <v>690</v>
      </c>
      <c r="F2278">
        <v>1</v>
      </c>
      <c r="G2278" s="32">
        <v>1</v>
      </c>
      <c r="H2278">
        <v>1</v>
      </c>
      <c r="J2278" t="s">
        <v>19</v>
      </c>
      <c r="K2278" t="s">
        <v>20</v>
      </c>
      <c r="L2278" t="s">
        <v>26</v>
      </c>
    </row>
    <row r="2279" spans="2:12" ht="15.75" customHeight="1">
      <c r="B2279" t="s">
        <v>99</v>
      </c>
      <c r="C2279" s="3" t="s">
        <v>100</v>
      </c>
      <c r="D2279" s="1" t="s">
        <v>124</v>
      </c>
      <c r="E2279">
        <v>690</v>
      </c>
      <c r="F2279">
        <v>2</v>
      </c>
      <c r="G2279" s="32">
        <v>0</v>
      </c>
      <c r="H2279">
        <v>0</v>
      </c>
      <c r="J2279" t="s">
        <v>35</v>
      </c>
      <c r="L2279" t="s">
        <v>28</v>
      </c>
    </row>
    <row r="2280" spans="2:12" ht="15.75" customHeight="1">
      <c r="D2280" s="34" t="s">
        <v>124</v>
      </c>
      <c r="E2280">
        <v>700</v>
      </c>
      <c r="F2280">
        <v>1</v>
      </c>
      <c r="H2280">
        <v>2</v>
      </c>
      <c r="J2280" t="s">
        <v>19</v>
      </c>
      <c r="K2280" t="s">
        <v>20</v>
      </c>
      <c r="L2280" t="s">
        <v>26</v>
      </c>
    </row>
    <row r="2281" spans="2:12" ht="15.75" customHeight="1">
      <c r="B2281" t="s">
        <v>99</v>
      </c>
      <c r="C2281" s="3" t="s">
        <v>100</v>
      </c>
      <c r="D2281" s="1" t="s">
        <v>124</v>
      </c>
      <c r="E2281">
        <v>710</v>
      </c>
      <c r="F2281">
        <v>1</v>
      </c>
      <c r="G2281" s="32">
        <v>1</v>
      </c>
      <c r="H2281">
        <v>1</v>
      </c>
      <c r="J2281" t="s">
        <v>19</v>
      </c>
      <c r="K2281" t="s">
        <v>20</v>
      </c>
      <c r="L2281" t="s">
        <v>26</v>
      </c>
    </row>
    <row r="2282" spans="2:12" ht="15.75" customHeight="1">
      <c r="B2282" t="s">
        <v>99</v>
      </c>
      <c r="C2282" s="3" t="s">
        <v>100</v>
      </c>
      <c r="D2282" s="1" t="s">
        <v>124</v>
      </c>
      <c r="E2282">
        <v>720</v>
      </c>
      <c r="F2282">
        <v>1</v>
      </c>
      <c r="G2282" s="32">
        <v>2</v>
      </c>
      <c r="H2282">
        <v>2</v>
      </c>
      <c r="J2282" t="s">
        <v>19</v>
      </c>
      <c r="K2282" t="s">
        <v>20</v>
      </c>
      <c r="L2282" t="s">
        <v>26</v>
      </c>
    </row>
    <row r="2283" spans="2:12" ht="15.75" customHeight="1">
      <c r="B2283" t="s">
        <v>99</v>
      </c>
      <c r="C2283" s="3" t="s">
        <v>100</v>
      </c>
      <c r="D2283" s="1" t="s">
        <v>124</v>
      </c>
      <c r="E2283">
        <v>720</v>
      </c>
      <c r="F2283">
        <v>2</v>
      </c>
      <c r="G2283" s="32">
        <v>1</v>
      </c>
      <c r="H2283">
        <v>2</v>
      </c>
      <c r="J2283" t="s">
        <v>35</v>
      </c>
      <c r="K2283" t="s">
        <v>33</v>
      </c>
      <c r="L2283" t="s">
        <v>28</v>
      </c>
    </row>
    <row r="2284" spans="2:12" ht="15.75" customHeight="1">
      <c r="D2284" s="34" t="s">
        <v>124</v>
      </c>
      <c r="E2284">
        <v>730</v>
      </c>
      <c r="F2284">
        <v>1</v>
      </c>
      <c r="H2284">
        <v>2</v>
      </c>
      <c r="J2284" t="s">
        <v>38</v>
      </c>
      <c r="K2284" t="s">
        <v>34</v>
      </c>
      <c r="L2284" t="s">
        <v>28</v>
      </c>
    </row>
    <row r="2285" spans="2:12" ht="15.75" customHeight="1">
      <c r="D2285" s="34" t="s">
        <v>124</v>
      </c>
      <c r="E2285">
        <v>740</v>
      </c>
      <c r="F2285">
        <v>1</v>
      </c>
      <c r="H2285">
        <v>2</v>
      </c>
      <c r="J2285" t="s">
        <v>19</v>
      </c>
      <c r="K2285" t="s">
        <v>20</v>
      </c>
      <c r="L2285" t="s">
        <v>26</v>
      </c>
    </row>
    <row r="2286" spans="2:12" ht="15.75" customHeight="1">
      <c r="D2286" s="34" t="s">
        <v>124</v>
      </c>
      <c r="E2286">
        <v>740</v>
      </c>
      <c r="F2286">
        <v>2</v>
      </c>
      <c r="H2286">
        <v>0</v>
      </c>
      <c r="J2286" t="s">
        <v>38</v>
      </c>
      <c r="L2286" t="s">
        <v>28</v>
      </c>
    </row>
    <row r="2287" spans="2:12" ht="15.75" customHeight="1">
      <c r="B2287" t="s">
        <v>99</v>
      </c>
      <c r="C2287" s="3" t="s">
        <v>100</v>
      </c>
      <c r="D2287" s="1" t="s">
        <v>124</v>
      </c>
      <c r="E2287">
        <v>750</v>
      </c>
      <c r="F2287">
        <v>1</v>
      </c>
      <c r="G2287" s="32">
        <v>1</v>
      </c>
      <c r="H2287">
        <v>2</v>
      </c>
      <c r="J2287" t="s">
        <v>19</v>
      </c>
      <c r="K2287" t="s">
        <v>20</v>
      </c>
      <c r="L2287" t="s">
        <v>26</v>
      </c>
    </row>
    <row r="2288" spans="2:12" ht="15.75" customHeight="1">
      <c r="B2288" t="s">
        <v>99</v>
      </c>
      <c r="C2288" s="3" t="s">
        <v>100</v>
      </c>
      <c r="D2288" s="1" t="s">
        <v>124</v>
      </c>
      <c r="E2288">
        <v>750</v>
      </c>
      <c r="F2288">
        <v>2</v>
      </c>
      <c r="G2288" s="32">
        <v>0</v>
      </c>
      <c r="H2288">
        <v>0</v>
      </c>
      <c r="J2288" t="s">
        <v>47</v>
      </c>
      <c r="L2288" t="s">
        <v>28</v>
      </c>
    </row>
    <row r="2289" spans="2:12" ht="15.75" customHeight="1">
      <c r="D2289" s="34" t="s">
        <v>124</v>
      </c>
      <c r="E2289">
        <v>760</v>
      </c>
      <c r="F2289">
        <v>1</v>
      </c>
      <c r="H2289">
        <v>1</v>
      </c>
      <c r="J2289" t="s">
        <v>57</v>
      </c>
      <c r="K2289" t="s">
        <v>34</v>
      </c>
      <c r="L2289" t="s">
        <v>28</v>
      </c>
    </row>
    <row r="2290" spans="2:12" ht="15.75" customHeight="1">
      <c r="D2290" s="34" t="s">
        <v>124</v>
      </c>
      <c r="E2290">
        <v>760</v>
      </c>
      <c r="F2290">
        <v>2</v>
      </c>
      <c r="H2290">
        <v>2</v>
      </c>
      <c r="J2290" t="s">
        <v>19</v>
      </c>
      <c r="K2290" t="s">
        <v>20</v>
      </c>
      <c r="L2290" t="s">
        <v>26</v>
      </c>
    </row>
    <row r="2291" spans="2:12" ht="15.75" customHeight="1">
      <c r="B2291" t="s">
        <v>99</v>
      </c>
      <c r="C2291" s="3" t="s">
        <v>100</v>
      </c>
      <c r="D2291" s="1" t="s">
        <v>124</v>
      </c>
      <c r="E2291">
        <v>770</v>
      </c>
      <c r="F2291">
        <v>1</v>
      </c>
      <c r="G2291" s="32">
        <v>2</v>
      </c>
      <c r="H2291">
        <v>2</v>
      </c>
      <c r="J2291" t="s">
        <v>19</v>
      </c>
      <c r="K2291" t="s">
        <v>20</v>
      </c>
      <c r="L2291" t="s">
        <v>26</v>
      </c>
    </row>
    <row r="2292" spans="2:12" ht="15.75" customHeight="1">
      <c r="B2292" t="s">
        <v>99</v>
      </c>
      <c r="C2292" s="3" t="s">
        <v>100</v>
      </c>
      <c r="D2292" s="1" t="s">
        <v>124</v>
      </c>
      <c r="E2292">
        <v>770</v>
      </c>
      <c r="F2292">
        <v>2</v>
      </c>
      <c r="G2292" s="32">
        <v>1</v>
      </c>
      <c r="H2292">
        <v>2</v>
      </c>
      <c r="J2292" t="s">
        <v>47</v>
      </c>
      <c r="K2292" t="s">
        <v>33</v>
      </c>
      <c r="L2292" t="s">
        <v>28</v>
      </c>
    </row>
    <row r="2293" spans="2:12" ht="15.75" customHeight="1">
      <c r="B2293" t="s">
        <v>99</v>
      </c>
      <c r="C2293" s="3" t="s">
        <v>100</v>
      </c>
      <c r="D2293" s="1" t="s">
        <v>124</v>
      </c>
      <c r="E2293">
        <v>780</v>
      </c>
      <c r="F2293">
        <v>1</v>
      </c>
      <c r="G2293" s="32">
        <v>1</v>
      </c>
      <c r="H2293">
        <v>2</v>
      </c>
      <c r="J2293" t="s">
        <v>19</v>
      </c>
      <c r="K2293" t="s">
        <v>20</v>
      </c>
      <c r="L2293" t="s">
        <v>26</v>
      </c>
    </row>
    <row r="2294" spans="2:12" ht="15.75" customHeight="1">
      <c r="B2294" t="s">
        <v>99</v>
      </c>
      <c r="C2294" s="3" t="s">
        <v>100</v>
      </c>
      <c r="D2294" s="1" t="s">
        <v>124</v>
      </c>
      <c r="E2294">
        <v>780</v>
      </c>
      <c r="F2294">
        <v>2</v>
      </c>
      <c r="G2294" s="32">
        <v>0</v>
      </c>
      <c r="H2294">
        <v>0</v>
      </c>
      <c r="J2294" t="s">
        <v>47</v>
      </c>
      <c r="L2294" t="s">
        <v>28</v>
      </c>
    </row>
    <row r="2295" spans="2:12" ht="15.75" customHeight="1">
      <c r="D2295" s="34" t="s">
        <v>124</v>
      </c>
      <c r="E2295">
        <v>790</v>
      </c>
      <c r="F2295">
        <v>1</v>
      </c>
      <c r="H2295">
        <v>0</v>
      </c>
      <c r="J2295" t="s">
        <v>19</v>
      </c>
      <c r="L2295" t="s">
        <v>26</v>
      </c>
    </row>
    <row r="2296" spans="2:12" ht="15.75" customHeight="1">
      <c r="D2296" s="34" t="s">
        <v>124</v>
      </c>
      <c r="E2296">
        <v>790</v>
      </c>
      <c r="F2296">
        <v>2</v>
      </c>
      <c r="H2296">
        <v>0</v>
      </c>
      <c r="J2296" t="s">
        <v>57</v>
      </c>
      <c r="L2296" t="s">
        <v>28</v>
      </c>
    </row>
    <row r="2297" spans="2:12" ht="15.75" customHeight="1">
      <c r="B2297" t="s">
        <v>99</v>
      </c>
      <c r="C2297" s="3" t="s">
        <v>100</v>
      </c>
      <c r="D2297" s="1" t="s">
        <v>124</v>
      </c>
      <c r="E2297">
        <v>800</v>
      </c>
      <c r="F2297">
        <v>1</v>
      </c>
      <c r="G2297" s="32">
        <v>1</v>
      </c>
      <c r="H2297">
        <v>2</v>
      </c>
      <c r="J2297" t="s">
        <v>19</v>
      </c>
      <c r="K2297" t="s">
        <v>20</v>
      </c>
      <c r="L2297" t="s">
        <v>26</v>
      </c>
    </row>
    <row r="2298" spans="2:12" ht="15.75" customHeight="1">
      <c r="B2298" t="s">
        <v>99</v>
      </c>
      <c r="C2298" s="3" t="s">
        <v>100</v>
      </c>
      <c r="D2298" s="1" t="s">
        <v>124</v>
      </c>
      <c r="E2298">
        <v>800</v>
      </c>
      <c r="F2298">
        <v>2</v>
      </c>
      <c r="G2298" s="32">
        <v>0</v>
      </c>
      <c r="H2298">
        <v>0</v>
      </c>
      <c r="J2298" t="s">
        <v>47</v>
      </c>
      <c r="L2298" t="s">
        <v>28</v>
      </c>
    </row>
    <row r="2299" spans="2:12" ht="15.75" customHeight="1">
      <c r="B2299" t="s">
        <v>99</v>
      </c>
      <c r="C2299" s="3" t="s">
        <v>100</v>
      </c>
      <c r="D2299" s="1" t="s">
        <v>124</v>
      </c>
      <c r="E2299">
        <v>810</v>
      </c>
      <c r="F2299">
        <v>1</v>
      </c>
      <c r="G2299" s="32">
        <v>1</v>
      </c>
      <c r="H2299">
        <v>2</v>
      </c>
      <c r="J2299" t="s">
        <v>19</v>
      </c>
      <c r="K2299" t="s">
        <v>20</v>
      </c>
      <c r="L2299" t="s">
        <v>26</v>
      </c>
    </row>
    <row r="2300" spans="2:12" ht="15.75" customHeight="1">
      <c r="B2300" t="s">
        <v>99</v>
      </c>
      <c r="C2300" s="3" t="s">
        <v>100</v>
      </c>
      <c r="D2300" s="1" t="s">
        <v>124</v>
      </c>
      <c r="E2300">
        <v>810</v>
      </c>
      <c r="F2300">
        <v>2</v>
      </c>
      <c r="G2300" s="32">
        <v>0</v>
      </c>
      <c r="H2300">
        <v>0</v>
      </c>
      <c r="J2300" t="s">
        <v>47</v>
      </c>
      <c r="L2300" t="s">
        <v>28</v>
      </c>
    </row>
    <row r="2301" spans="2:12" ht="15.75" customHeight="1">
      <c r="B2301" t="s">
        <v>99</v>
      </c>
      <c r="C2301" s="3" t="s">
        <v>100</v>
      </c>
      <c r="D2301" s="1" t="s">
        <v>124</v>
      </c>
      <c r="E2301">
        <v>820</v>
      </c>
      <c r="F2301">
        <v>1</v>
      </c>
      <c r="G2301" s="32">
        <v>1</v>
      </c>
      <c r="H2301">
        <v>2</v>
      </c>
      <c r="J2301" t="s">
        <v>19</v>
      </c>
      <c r="K2301" t="s">
        <v>20</v>
      </c>
      <c r="L2301" t="s">
        <v>26</v>
      </c>
    </row>
    <row r="2302" spans="2:12" ht="15.75" customHeight="1">
      <c r="D2302" s="34" t="s">
        <v>124</v>
      </c>
      <c r="E2302">
        <v>830</v>
      </c>
      <c r="F2302">
        <v>1</v>
      </c>
      <c r="H2302">
        <v>1</v>
      </c>
      <c r="J2302" t="s">
        <v>19</v>
      </c>
      <c r="K2302" t="s">
        <v>20</v>
      </c>
      <c r="L2302" t="s">
        <v>26</v>
      </c>
    </row>
    <row r="2303" spans="2:12" ht="15.75" customHeight="1">
      <c r="D2303" s="34" t="s">
        <v>124</v>
      </c>
      <c r="E2303">
        <v>830</v>
      </c>
      <c r="F2303">
        <v>1</v>
      </c>
      <c r="H2303">
        <v>0</v>
      </c>
      <c r="J2303" t="s">
        <v>57</v>
      </c>
      <c r="L2303" t="s">
        <v>28</v>
      </c>
    </row>
    <row r="2304" spans="2:12" ht="15.75" customHeight="1">
      <c r="D2304" s="34" t="s">
        <v>124</v>
      </c>
      <c r="E2304">
        <v>840</v>
      </c>
      <c r="I2304" t="s">
        <v>56</v>
      </c>
    </row>
    <row r="2305" spans="2:12" ht="15.75" customHeight="1">
      <c r="D2305" t="s">
        <v>125</v>
      </c>
      <c r="E2305">
        <v>0</v>
      </c>
      <c r="F2305">
        <v>1</v>
      </c>
      <c r="H2305">
        <v>1</v>
      </c>
      <c r="J2305" t="s">
        <v>19</v>
      </c>
      <c r="K2305" t="s">
        <v>20</v>
      </c>
      <c r="L2305" t="s">
        <v>26</v>
      </c>
    </row>
    <row r="2306" spans="2:12" ht="15.75" customHeight="1">
      <c r="D2306" t="s">
        <v>125</v>
      </c>
      <c r="E2306">
        <v>0</v>
      </c>
      <c r="F2306">
        <v>2</v>
      </c>
      <c r="H2306">
        <v>2</v>
      </c>
      <c r="J2306" t="s">
        <v>38</v>
      </c>
      <c r="L2306" t="s">
        <v>28</v>
      </c>
    </row>
    <row r="2307" spans="2:12" ht="15.75" customHeight="1">
      <c r="B2307" t="s">
        <v>99</v>
      </c>
      <c r="C2307" s="3" t="s">
        <v>100</v>
      </c>
      <c r="D2307" t="s">
        <v>125</v>
      </c>
      <c r="E2307">
        <v>10</v>
      </c>
      <c r="F2307">
        <v>1</v>
      </c>
      <c r="G2307" s="32">
        <v>2</v>
      </c>
      <c r="H2307">
        <v>1</v>
      </c>
      <c r="J2307" t="s">
        <v>19</v>
      </c>
      <c r="K2307" t="s">
        <v>20</v>
      </c>
      <c r="L2307" t="s">
        <v>26</v>
      </c>
    </row>
    <row r="2308" spans="2:12" ht="15.75" customHeight="1">
      <c r="B2308" t="s">
        <v>99</v>
      </c>
      <c r="C2308" s="3" t="s">
        <v>100</v>
      </c>
      <c r="D2308" t="s">
        <v>125</v>
      </c>
      <c r="E2308">
        <v>10</v>
      </c>
      <c r="F2308">
        <v>2</v>
      </c>
      <c r="G2308" s="32">
        <v>1</v>
      </c>
      <c r="H2308">
        <v>2</v>
      </c>
      <c r="J2308" t="s">
        <v>35</v>
      </c>
      <c r="K2308" t="s">
        <v>36</v>
      </c>
      <c r="L2308" t="s">
        <v>28</v>
      </c>
    </row>
    <row r="2309" spans="2:12" ht="15.75" customHeight="1">
      <c r="D2309" t="s">
        <v>125</v>
      </c>
      <c r="E2309">
        <v>20</v>
      </c>
      <c r="F2309">
        <v>1</v>
      </c>
      <c r="H2309">
        <v>1</v>
      </c>
      <c r="J2309" t="s">
        <v>19</v>
      </c>
      <c r="K2309" t="s">
        <v>20</v>
      </c>
      <c r="L2309" t="s">
        <v>26</v>
      </c>
    </row>
    <row r="2310" spans="2:12" ht="15.75" customHeight="1">
      <c r="D2310" t="s">
        <v>125</v>
      </c>
      <c r="E2310">
        <v>20</v>
      </c>
      <c r="F2310">
        <v>2</v>
      </c>
      <c r="H2310">
        <v>0</v>
      </c>
      <c r="J2310" t="s">
        <v>38</v>
      </c>
      <c r="L2310" t="s">
        <v>28</v>
      </c>
    </row>
    <row r="2311" spans="2:12" ht="15.75" customHeight="1">
      <c r="D2311" t="s">
        <v>125</v>
      </c>
      <c r="E2311">
        <v>30</v>
      </c>
      <c r="F2311">
        <v>1</v>
      </c>
      <c r="H2311">
        <v>1</v>
      </c>
      <c r="J2311" t="s">
        <v>19</v>
      </c>
      <c r="K2311" t="s">
        <v>20</v>
      </c>
      <c r="L2311" t="s">
        <v>26</v>
      </c>
    </row>
    <row r="2312" spans="2:12" ht="15.75" customHeight="1">
      <c r="D2312" t="s">
        <v>125</v>
      </c>
      <c r="E2312">
        <v>30</v>
      </c>
      <c r="F2312">
        <v>2</v>
      </c>
      <c r="H2312">
        <v>2</v>
      </c>
      <c r="J2312" t="s">
        <v>38</v>
      </c>
      <c r="K2312" t="s">
        <v>34</v>
      </c>
      <c r="L2312" t="s">
        <v>28</v>
      </c>
    </row>
    <row r="2313" spans="2:12" ht="15.75" customHeight="1">
      <c r="B2313" t="s">
        <v>99</v>
      </c>
      <c r="C2313" s="3" t="s">
        <v>100</v>
      </c>
      <c r="D2313" t="s">
        <v>125</v>
      </c>
      <c r="E2313">
        <v>40</v>
      </c>
      <c r="F2313">
        <v>1</v>
      </c>
      <c r="G2313" s="32">
        <v>2</v>
      </c>
      <c r="H2313">
        <v>1</v>
      </c>
      <c r="J2313" t="s">
        <v>19</v>
      </c>
      <c r="K2313" t="s">
        <v>20</v>
      </c>
      <c r="L2313" t="s">
        <v>26</v>
      </c>
    </row>
    <row r="2314" spans="2:12" ht="15.75" customHeight="1">
      <c r="B2314" t="s">
        <v>99</v>
      </c>
      <c r="C2314" s="3" t="s">
        <v>100</v>
      </c>
      <c r="D2314" t="s">
        <v>125</v>
      </c>
      <c r="E2314">
        <v>40</v>
      </c>
      <c r="F2314">
        <v>2</v>
      </c>
      <c r="G2314" s="32">
        <v>1</v>
      </c>
      <c r="H2314">
        <v>2</v>
      </c>
      <c r="J2314" t="s">
        <v>35</v>
      </c>
      <c r="K2314" t="s">
        <v>36</v>
      </c>
      <c r="L2314" t="s">
        <v>28</v>
      </c>
    </row>
    <row r="2315" spans="2:12" ht="15.75" customHeight="1">
      <c r="D2315" t="s">
        <v>125</v>
      </c>
      <c r="E2315">
        <v>50</v>
      </c>
      <c r="F2315">
        <v>1</v>
      </c>
      <c r="I2315" t="s">
        <v>85</v>
      </c>
    </row>
    <row r="2316" spans="2:12" ht="15.75" customHeight="1">
      <c r="B2316" t="s">
        <v>99</v>
      </c>
      <c r="C2316" s="3" t="s">
        <v>100</v>
      </c>
      <c r="D2316" t="s">
        <v>125</v>
      </c>
      <c r="E2316">
        <v>60</v>
      </c>
      <c r="F2316">
        <v>1</v>
      </c>
      <c r="G2316" s="32">
        <v>1</v>
      </c>
      <c r="H2316">
        <v>2</v>
      </c>
      <c r="J2316" t="s">
        <v>35</v>
      </c>
      <c r="K2316" t="s">
        <v>36</v>
      </c>
      <c r="L2316" t="s">
        <v>28</v>
      </c>
    </row>
    <row r="2317" spans="2:12" ht="15.75" customHeight="1">
      <c r="B2317" t="s">
        <v>99</v>
      </c>
      <c r="C2317" s="3" t="s">
        <v>100</v>
      </c>
      <c r="D2317" t="s">
        <v>125</v>
      </c>
      <c r="E2317">
        <v>70</v>
      </c>
      <c r="F2317">
        <v>1</v>
      </c>
      <c r="G2317" s="32">
        <v>1</v>
      </c>
      <c r="H2317">
        <v>2</v>
      </c>
      <c r="J2317" t="s">
        <v>35</v>
      </c>
      <c r="K2317" t="s">
        <v>36</v>
      </c>
      <c r="L2317" t="s">
        <v>28</v>
      </c>
    </row>
    <row r="2318" spans="2:12" ht="15.75" customHeight="1">
      <c r="B2318" t="s">
        <v>99</v>
      </c>
      <c r="C2318" s="3" t="s">
        <v>100</v>
      </c>
      <c r="D2318" t="s">
        <v>125</v>
      </c>
      <c r="E2318">
        <v>80</v>
      </c>
      <c r="F2318">
        <v>1</v>
      </c>
      <c r="G2318" s="32">
        <v>3</v>
      </c>
      <c r="H2318">
        <v>0</v>
      </c>
      <c r="J2318" t="s">
        <v>35</v>
      </c>
      <c r="L2318" t="s">
        <v>28</v>
      </c>
    </row>
    <row r="2319" spans="2:12" ht="15.75" customHeight="1">
      <c r="D2319" t="s">
        <v>125</v>
      </c>
      <c r="E2319">
        <v>90</v>
      </c>
      <c r="F2319">
        <v>1</v>
      </c>
      <c r="H2319">
        <v>2</v>
      </c>
      <c r="J2319" t="s">
        <v>38</v>
      </c>
      <c r="K2319" t="s">
        <v>27</v>
      </c>
      <c r="L2319" t="s">
        <v>28</v>
      </c>
    </row>
    <row r="2320" spans="2:12" ht="15.75" customHeight="1">
      <c r="B2320" t="s">
        <v>99</v>
      </c>
      <c r="C2320" s="3" t="s">
        <v>100</v>
      </c>
      <c r="D2320" t="s">
        <v>125</v>
      </c>
      <c r="E2320">
        <v>100</v>
      </c>
      <c r="F2320">
        <v>1</v>
      </c>
      <c r="G2320" s="32">
        <v>1</v>
      </c>
      <c r="H2320">
        <v>2</v>
      </c>
      <c r="J2320" t="s">
        <v>35</v>
      </c>
      <c r="K2320" t="s">
        <v>33</v>
      </c>
      <c r="L2320" t="s">
        <v>28</v>
      </c>
    </row>
    <row r="2321" spans="2:12" ht="15.75" customHeight="1">
      <c r="B2321" t="s">
        <v>99</v>
      </c>
      <c r="C2321" s="3" t="s">
        <v>100</v>
      </c>
      <c r="D2321" t="s">
        <v>125</v>
      </c>
      <c r="E2321">
        <v>110</v>
      </c>
      <c r="F2321">
        <v>1</v>
      </c>
      <c r="G2321" s="32">
        <v>1</v>
      </c>
      <c r="H2321">
        <v>2</v>
      </c>
      <c r="J2321" t="s">
        <v>35</v>
      </c>
      <c r="K2321" t="s">
        <v>36</v>
      </c>
      <c r="L2321" t="s">
        <v>28</v>
      </c>
    </row>
    <row r="2322" spans="2:12" ht="15.75" customHeight="1">
      <c r="D2322" t="s">
        <v>125</v>
      </c>
      <c r="E2322">
        <v>120</v>
      </c>
      <c r="F2322">
        <v>1</v>
      </c>
      <c r="H2322">
        <v>2</v>
      </c>
      <c r="J2322" t="s">
        <v>38</v>
      </c>
      <c r="K2322" t="s">
        <v>27</v>
      </c>
      <c r="L2322" t="s">
        <v>28</v>
      </c>
    </row>
    <row r="2323" spans="2:12" ht="15.75" customHeight="1">
      <c r="D2323" t="s">
        <v>125</v>
      </c>
      <c r="E2323">
        <v>130</v>
      </c>
      <c r="F2323">
        <v>1</v>
      </c>
      <c r="H2323">
        <v>2</v>
      </c>
      <c r="J2323" t="s">
        <v>38</v>
      </c>
      <c r="K2323" t="s">
        <v>34</v>
      </c>
      <c r="L2323" t="s">
        <v>28</v>
      </c>
    </row>
    <row r="2324" spans="2:12" ht="15.75" customHeight="1">
      <c r="D2324" t="s">
        <v>125</v>
      </c>
      <c r="E2324">
        <v>140</v>
      </c>
      <c r="F2324">
        <v>1</v>
      </c>
      <c r="H2324">
        <v>2</v>
      </c>
      <c r="J2324" t="s">
        <v>38</v>
      </c>
      <c r="K2324" t="s">
        <v>27</v>
      </c>
      <c r="L2324" t="s">
        <v>28</v>
      </c>
    </row>
    <row r="2325" spans="2:12" ht="15.75" customHeight="1">
      <c r="D2325" t="s">
        <v>125</v>
      </c>
      <c r="E2325">
        <v>150</v>
      </c>
      <c r="F2325">
        <v>0</v>
      </c>
    </row>
    <row r="2326" spans="2:12" ht="15.75" customHeight="1">
      <c r="D2326" t="s">
        <v>125</v>
      </c>
      <c r="E2326">
        <v>160</v>
      </c>
      <c r="F2326">
        <v>0</v>
      </c>
    </row>
    <row r="2327" spans="2:12" ht="15.75" customHeight="1">
      <c r="D2327" t="s">
        <v>125</v>
      </c>
      <c r="E2327">
        <v>170</v>
      </c>
      <c r="F2327">
        <v>0</v>
      </c>
    </row>
    <row r="2328" spans="2:12" ht="15.75" customHeight="1">
      <c r="B2328" t="s">
        <v>99</v>
      </c>
      <c r="C2328" s="3" t="s">
        <v>100</v>
      </c>
      <c r="D2328" t="s">
        <v>125</v>
      </c>
      <c r="E2328">
        <v>180</v>
      </c>
      <c r="F2328">
        <v>1</v>
      </c>
      <c r="G2328" s="32">
        <v>0</v>
      </c>
      <c r="H2328">
        <v>0</v>
      </c>
      <c r="J2328" t="s">
        <v>35</v>
      </c>
      <c r="L2328" t="s">
        <v>28</v>
      </c>
    </row>
    <row r="2329" spans="2:12" ht="15.75" customHeight="1">
      <c r="B2329" t="s">
        <v>99</v>
      </c>
      <c r="C2329" s="3" t="s">
        <v>100</v>
      </c>
      <c r="D2329" t="s">
        <v>125</v>
      </c>
      <c r="E2329">
        <v>190</v>
      </c>
      <c r="F2329">
        <v>1</v>
      </c>
      <c r="G2329" s="32">
        <v>1</v>
      </c>
      <c r="H2329">
        <v>1</v>
      </c>
      <c r="J2329" t="s">
        <v>35</v>
      </c>
      <c r="K2329" t="s">
        <v>33</v>
      </c>
      <c r="L2329" t="s">
        <v>28</v>
      </c>
    </row>
    <row r="2330" spans="2:12" ht="15.75" customHeight="1">
      <c r="B2330" t="s">
        <v>99</v>
      </c>
      <c r="C2330" s="3" t="s">
        <v>100</v>
      </c>
      <c r="D2330" t="s">
        <v>125</v>
      </c>
      <c r="E2330">
        <v>190</v>
      </c>
      <c r="F2330">
        <v>2</v>
      </c>
      <c r="G2330" s="32">
        <v>1</v>
      </c>
      <c r="H2330">
        <v>2</v>
      </c>
      <c r="J2330" t="s">
        <v>19</v>
      </c>
      <c r="K2330" t="s">
        <v>20</v>
      </c>
      <c r="L2330" t="s">
        <v>26</v>
      </c>
    </row>
    <row r="2331" spans="2:12" ht="15.75" customHeight="1">
      <c r="B2331" t="s">
        <v>99</v>
      </c>
      <c r="C2331" s="3" t="s">
        <v>100</v>
      </c>
      <c r="D2331" t="s">
        <v>125</v>
      </c>
      <c r="E2331">
        <v>200</v>
      </c>
      <c r="F2331">
        <v>1</v>
      </c>
      <c r="G2331" s="32">
        <v>1</v>
      </c>
      <c r="H2331">
        <v>1</v>
      </c>
      <c r="J2331" t="s">
        <v>19</v>
      </c>
      <c r="K2331" t="s">
        <v>20</v>
      </c>
      <c r="L2331" t="s">
        <v>26</v>
      </c>
    </row>
    <row r="2332" spans="2:12" ht="15.75" customHeight="1">
      <c r="B2332" t="s">
        <v>99</v>
      </c>
      <c r="C2332" s="3" t="s">
        <v>100</v>
      </c>
      <c r="D2332" t="s">
        <v>125</v>
      </c>
      <c r="E2332">
        <v>200</v>
      </c>
      <c r="F2332">
        <v>2</v>
      </c>
      <c r="G2332" s="32">
        <v>1</v>
      </c>
      <c r="H2332">
        <v>2</v>
      </c>
      <c r="J2332" t="s">
        <v>35</v>
      </c>
      <c r="K2332" t="s">
        <v>36</v>
      </c>
      <c r="L2332" t="s">
        <v>28</v>
      </c>
    </row>
    <row r="2333" spans="2:12" ht="15.75" customHeight="1">
      <c r="D2333" t="s">
        <v>125</v>
      </c>
      <c r="E2333">
        <v>210</v>
      </c>
      <c r="F2333">
        <v>0</v>
      </c>
    </row>
    <row r="2334" spans="2:12" ht="15.75" customHeight="1">
      <c r="D2334" t="s">
        <v>125</v>
      </c>
      <c r="E2334">
        <v>220</v>
      </c>
      <c r="F2334">
        <v>1</v>
      </c>
      <c r="H2334">
        <v>0</v>
      </c>
      <c r="J2334" t="s">
        <v>105</v>
      </c>
      <c r="L2334" t="s">
        <v>28</v>
      </c>
    </row>
    <row r="2335" spans="2:12" ht="15.75" customHeight="1">
      <c r="D2335" t="s">
        <v>125</v>
      </c>
      <c r="E2335">
        <v>230</v>
      </c>
      <c r="F2335">
        <v>1</v>
      </c>
      <c r="H2335">
        <v>2</v>
      </c>
      <c r="J2335" t="s">
        <v>105</v>
      </c>
      <c r="K2335" t="s">
        <v>105</v>
      </c>
      <c r="L2335" t="s">
        <v>28</v>
      </c>
    </row>
    <row r="2336" spans="2:12" ht="15.75" customHeight="1">
      <c r="D2336" t="s">
        <v>125</v>
      </c>
      <c r="E2336">
        <v>240</v>
      </c>
      <c r="F2336">
        <v>1</v>
      </c>
      <c r="H2336">
        <v>1</v>
      </c>
      <c r="J2336" t="s">
        <v>19</v>
      </c>
      <c r="K2336" t="s">
        <v>20</v>
      </c>
      <c r="L2336" t="s">
        <v>26</v>
      </c>
    </row>
    <row r="2337" spans="2:12" ht="15.75" customHeight="1">
      <c r="B2337" t="s">
        <v>99</v>
      </c>
      <c r="C2337" s="3" t="s">
        <v>100</v>
      </c>
      <c r="D2337" t="s">
        <v>125</v>
      </c>
      <c r="E2337">
        <v>250</v>
      </c>
      <c r="F2337">
        <v>1</v>
      </c>
      <c r="G2337" s="32">
        <v>1</v>
      </c>
      <c r="H2337">
        <v>1</v>
      </c>
      <c r="J2337" t="s">
        <v>19</v>
      </c>
      <c r="K2337" t="s">
        <v>20</v>
      </c>
      <c r="L2337" t="s">
        <v>26</v>
      </c>
    </row>
    <row r="2338" spans="2:12" ht="15.75" customHeight="1">
      <c r="B2338" t="s">
        <v>99</v>
      </c>
      <c r="C2338" s="3" t="s">
        <v>100</v>
      </c>
      <c r="D2338" t="s">
        <v>125</v>
      </c>
      <c r="E2338">
        <v>250</v>
      </c>
      <c r="F2338">
        <v>2</v>
      </c>
      <c r="G2338" s="32">
        <v>3</v>
      </c>
      <c r="H2338">
        <v>0</v>
      </c>
      <c r="J2338" t="s">
        <v>35</v>
      </c>
      <c r="L2338" t="s">
        <v>28</v>
      </c>
    </row>
    <row r="2339" spans="2:12" ht="15.75" customHeight="1">
      <c r="D2339" t="s">
        <v>125</v>
      </c>
      <c r="E2339">
        <v>260</v>
      </c>
      <c r="F2339">
        <v>1</v>
      </c>
      <c r="H2339">
        <v>1</v>
      </c>
    </row>
    <row r="2340" spans="2:12" ht="15.75" customHeight="1">
      <c r="D2340" t="s">
        <v>125</v>
      </c>
      <c r="E2340">
        <v>270</v>
      </c>
      <c r="F2340">
        <v>1</v>
      </c>
      <c r="H2340">
        <v>1</v>
      </c>
      <c r="J2340" t="s">
        <v>19</v>
      </c>
      <c r="K2340" t="s">
        <v>20</v>
      </c>
      <c r="L2340" t="s">
        <v>26</v>
      </c>
    </row>
    <row r="2341" spans="2:12" ht="15.75" customHeight="1">
      <c r="D2341" s="34" t="s">
        <v>126</v>
      </c>
      <c r="E2341">
        <v>0</v>
      </c>
      <c r="F2341">
        <v>1</v>
      </c>
      <c r="H2341">
        <v>1</v>
      </c>
      <c r="J2341" t="s">
        <v>19</v>
      </c>
      <c r="K2341" t="s">
        <v>20</v>
      </c>
      <c r="L2341" t="s">
        <v>26</v>
      </c>
    </row>
    <row r="2342" spans="2:12" ht="15.75" customHeight="1">
      <c r="D2342" s="34" t="s">
        <v>126</v>
      </c>
      <c r="E2342">
        <v>0</v>
      </c>
      <c r="F2342">
        <v>2</v>
      </c>
      <c r="H2342">
        <v>1</v>
      </c>
      <c r="J2342" t="s">
        <v>57</v>
      </c>
      <c r="K2342" t="s">
        <v>34</v>
      </c>
      <c r="L2342" t="s">
        <v>28</v>
      </c>
    </row>
    <row r="2343" spans="2:12" ht="15.75" customHeight="1">
      <c r="D2343" s="34" t="s">
        <v>126</v>
      </c>
      <c r="E2343">
        <v>10</v>
      </c>
      <c r="F2343">
        <v>1</v>
      </c>
      <c r="H2343">
        <v>1</v>
      </c>
      <c r="J2343" t="s">
        <v>19</v>
      </c>
      <c r="K2343" t="s">
        <v>20</v>
      </c>
      <c r="L2343" t="s">
        <v>26</v>
      </c>
    </row>
    <row r="2344" spans="2:12" ht="15.75" customHeight="1">
      <c r="D2344" s="34" t="s">
        <v>126</v>
      </c>
      <c r="E2344">
        <v>10</v>
      </c>
      <c r="F2344">
        <v>2</v>
      </c>
      <c r="H2344">
        <v>2</v>
      </c>
      <c r="J2344" t="s">
        <v>53</v>
      </c>
      <c r="K2344" t="s">
        <v>34</v>
      </c>
      <c r="L2344" t="s">
        <v>28</v>
      </c>
    </row>
    <row r="2345" spans="2:12" ht="15.75" customHeight="1">
      <c r="D2345" s="34" t="s">
        <v>126</v>
      </c>
      <c r="E2345">
        <v>20</v>
      </c>
      <c r="F2345">
        <v>1</v>
      </c>
      <c r="H2345">
        <v>1</v>
      </c>
      <c r="J2345" t="s">
        <v>19</v>
      </c>
      <c r="K2345" t="s">
        <v>20</v>
      </c>
      <c r="L2345" t="s">
        <v>26</v>
      </c>
    </row>
    <row r="2346" spans="2:12" ht="15.75" customHeight="1">
      <c r="D2346" s="34" t="s">
        <v>126</v>
      </c>
      <c r="E2346">
        <v>20</v>
      </c>
      <c r="F2346">
        <v>2</v>
      </c>
      <c r="H2346">
        <v>2</v>
      </c>
      <c r="J2346" t="s">
        <v>53</v>
      </c>
      <c r="K2346" t="s">
        <v>34</v>
      </c>
      <c r="L2346" t="s">
        <v>28</v>
      </c>
    </row>
    <row r="2347" spans="2:12" ht="15.75" customHeight="1">
      <c r="D2347" s="34" t="s">
        <v>126</v>
      </c>
      <c r="E2347">
        <v>30</v>
      </c>
      <c r="F2347">
        <v>1</v>
      </c>
      <c r="H2347">
        <v>1</v>
      </c>
      <c r="J2347" t="s">
        <v>19</v>
      </c>
      <c r="K2347" t="s">
        <v>20</v>
      </c>
      <c r="L2347" t="s">
        <v>26</v>
      </c>
    </row>
    <row r="2348" spans="2:12" ht="15.75" customHeight="1">
      <c r="D2348" s="34" t="s">
        <v>126</v>
      </c>
      <c r="E2348">
        <v>40</v>
      </c>
      <c r="F2348">
        <v>1</v>
      </c>
      <c r="H2348">
        <v>1</v>
      </c>
      <c r="J2348" t="s">
        <v>19</v>
      </c>
      <c r="K2348" t="s">
        <v>20</v>
      </c>
      <c r="L2348" t="s">
        <v>26</v>
      </c>
    </row>
    <row r="2349" spans="2:12" ht="15.75" customHeight="1">
      <c r="D2349" s="34" t="s">
        <v>126</v>
      </c>
      <c r="E2349">
        <v>40</v>
      </c>
      <c r="F2349">
        <v>2</v>
      </c>
      <c r="H2349">
        <v>0</v>
      </c>
      <c r="J2349" t="s">
        <v>53</v>
      </c>
      <c r="L2349" t="s">
        <v>28</v>
      </c>
    </row>
    <row r="2350" spans="2:12" ht="15.75" customHeight="1">
      <c r="D2350" s="34" t="s">
        <v>126</v>
      </c>
      <c r="E2350">
        <v>50</v>
      </c>
      <c r="F2350">
        <v>1</v>
      </c>
      <c r="H2350">
        <v>1</v>
      </c>
      <c r="J2350" t="s">
        <v>19</v>
      </c>
      <c r="K2350" t="s">
        <v>20</v>
      </c>
      <c r="L2350" t="s">
        <v>26</v>
      </c>
    </row>
    <row r="2351" spans="2:12" ht="15.75" customHeight="1">
      <c r="D2351" s="34" t="s">
        <v>126</v>
      </c>
      <c r="E2351">
        <v>50</v>
      </c>
      <c r="F2351">
        <v>1</v>
      </c>
      <c r="H2351">
        <v>0</v>
      </c>
      <c r="J2351" t="s">
        <v>53</v>
      </c>
      <c r="L2351" t="s">
        <v>28</v>
      </c>
    </row>
    <row r="2352" spans="2:12" ht="15.75" customHeight="1">
      <c r="B2352" t="s">
        <v>99</v>
      </c>
      <c r="C2352" s="3" t="s">
        <v>100</v>
      </c>
      <c r="D2352" s="1" t="s">
        <v>126</v>
      </c>
      <c r="E2352">
        <v>60</v>
      </c>
      <c r="F2352">
        <v>1</v>
      </c>
      <c r="G2352" s="32">
        <v>1</v>
      </c>
      <c r="H2352">
        <v>1</v>
      </c>
      <c r="J2352" t="s">
        <v>19</v>
      </c>
      <c r="K2352" t="s">
        <v>20</v>
      </c>
      <c r="L2352" t="s">
        <v>26</v>
      </c>
    </row>
    <row r="2353" spans="2:12" ht="15.75" customHeight="1">
      <c r="B2353" t="s">
        <v>99</v>
      </c>
      <c r="C2353" s="3" t="s">
        <v>100</v>
      </c>
      <c r="D2353" s="1" t="s">
        <v>126</v>
      </c>
      <c r="E2353">
        <v>60</v>
      </c>
      <c r="F2353">
        <v>2</v>
      </c>
      <c r="G2353" s="32">
        <v>0</v>
      </c>
      <c r="H2353">
        <v>0</v>
      </c>
      <c r="J2353" t="s">
        <v>52</v>
      </c>
      <c r="L2353" t="s">
        <v>28</v>
      </c>
    </row>
    <row r="2354" spans="2:12" ht="15.75" customHeight="1">
      <c r="D2354" s="34" t="s">
        <v>126</v>
      </c>
      <c r="E2354">
        <v>70</v>
      </c>
      <c r="F2354">
        <v>1</v>
      </c>
      <c r="H2354">
        <v>1</v>
      </c>
      <c r="J2354" t="s">
        <v>19</v>
      </c>
      <c r="K2354" t="s">
        <v>20</v>
      </c>
      <c r="L2354" t="s">
        <v>26</v>
      </c>
    </row>
    <row r="2355" spans="2:12" ht="15.75" customHeight="1">
      <c r="D2355" s="34" t="s">
        <v>126</v>
      </c>
      <c r="E2355">
        <v>70</v>
      </c>
      <c r="F2355">
        <v>1</v>
      </c>
      <c r="H2355">
        <v>0</v>
      </c>
      <c r="J2355" t="s">
        <v>53</v>
      </c>
      <c r="L2355" t="s">
        <v>28</v>
      </c>
    </row>
    <row r="2356" spans="2:12" ht="15.75" customHeight="1">
      <c r="D2356" s="34" t="s">
        <v>126</v>
      </c>
      <c r="E2356">
        <v>80</v>
      </c>
      <c r="F2356">
        <v>1</v>
      </c>
      <c r="H2356">
        <v>2</v>
      </c>
      <c r="J2356" t="s">
        <v>57</v>
      </c>
      <c r="K2356" t="s">
        <v>34</v>
      </c>
      <c r="L2356" t="s">
        <v>28</v>
      </c>
    </row>
    <row r="2357" spans="2:12" ht="15.75" customHeight="1">
      <c r="D2357" s="34" t="s">
        <v>126</v>
      </c>
      <c r="E2357">
        <v>90</v>
      </c>
      <c r="F2357">
        <v>1</v>
      </c>
      <c r="H2357">
        <v>2</v>
      </c>
      <c r="J2357" t="s">
        <v>53</v>
      </c>
      <c r="K2357" t="s">
        <v>31</v>
      </c>
      <c r="L2357" t="s">
        <v>28</v>
      </c>
    </row>
    <row r="2358" spans="2:12" ht="15.75" customHeight="1">
      <c r="D2358" s="34" t="s">
        <v>126</v>
      </c>
      <c r="E2358">
        <v>100</v>
      </c>
      <c r="F2358">
        <v>1</v>
      </c>
      <c r="H2358">
        <v>2</v>
      </c>
      <c r="J2358" t="s">
        <v>57</v>
      </c>
      <c r="K2358" t="s">
        <v>34</v>
      </c>
      <c r="L2358" t="s">
        <v>28</v>
      </c>
    </row>
    <row r="2359" spans="2:12" ht="15.75" customHeight="1">
      <c r="D2359" s="34" t="s">
        <v>126</v>
      </c>
      <c r="E2359">
        <v>110</v>
      </c>
      <c r="F2359">
        <v>1</v>
      </c>
      <c r="H2359">
        <v>1</v>
      </c>
      <c r="J2359" t="s">
        <v>57</v>
      </c>
      <c r="K2359" t="s">
        <v>34</v>
      </c>
      <c r="L2359" t="s">
        <v>28</v>
      </c>
    </row>
    <row r="2360" spans="2:12" ht="15.75" customHeight="1">
      <c r="D2360" s="34" t="s">
        <v>126</v>
      </c>
      <c r="E2360">
        <v>120</v>
      </c>
      <c r="F2360">
        <v>0</v>
      </c>
    </row>
    <row r="2361" spans="2:12" ht="15.75" customHeight="1">
      <c r="D2361" s="34" t="s">
        <v>126</v>
      </c>
      <c r="E2361">
        <v>130</v>
      </c>
      <c r="F2361">
        <v>1</v>
      </c>
      <c r="H2361">
        <v>0</v>
      </c>
      <c r="J2361" t="s">
        <v>19</v>
      </c>
      <c r="L2361" t="s">
        <v>28</v>
      </c>
    </row>
    <row r="2362" spans="2:12" ht="15.75" customHeight="1">
      <c r="D2362" s="34" t="s">
        <v>126</v>
      </c>
      <c r="E2362">
        <v>140</v>
      </c>
      <c r="F2362">
        <v>0</v>
      </c>
    </row>
    <row r="2363" spans="2:12" ht="15.75" customHeight="1">
      <c r="D2363" s="34" t="s">
        <v>126</v>
      </c>
      <c r="E2363">
        <v>150</v>
      </c>
      <c r="F2363">
        <v>1</v>
      </c>
      <c r="H2363">
        <v>1</v>
      </c>
      <c r="J2363" t="s">
        <v>19</v>
      </c>
      <c r="K2363" t="s">
        <v>20</v>
      </c>
      <c r="L2363" t="s">
        <v>26</v>
      </c>
    </row>
    <row r="2364" spans="2:12" ht="15.75" customHeight="1">
      <c r="B2364" t="s">
        <v>99</v>
      </c>
      <c r="C2364" s="3" t="s">
        <v>100</v>
      </c>
      <c r="D2364" s="1" t="s">
        <v>126</v>
      </c>
      <c r="E2364">
        <v>160</v>
      </c>
      <c r="F2364">
        <v>1</v>
      </c>
      <c r="G2364" s="32" t="s">
        <v>50</v>
      </c>
      <c r="I2364" t="s">
        <v>56</v>
      </c>
    </row>
    <row r="2365" spans="2:12" ht="15.75" customHeight="1">
      <c r="D2365" s="34" t="s">
        <v>126</v>
      </c>
      <c r="E2365">
        <v>170</v>
      </c>
      <c r="I2365" t="s">
        <v>56</v>
      </c>
    </row>
    <row r="2366" spans="2:12" ht="15.75" customHeight="1">
      <c r="B2366" t="s">
        <v>99</v>
      </c>
      <c r="C2366" s="3" t="s">
        <v>100</v>
      </c>
      <c r="D2366" s="1" t="s">
        <v>126</v>
      </c>
      <c r="E2366">
        <v>180</v>
      </c>
      <c r="F2366">
        <v>1</v>
      </c>
      <c r="G2366" s="32" t="s">
        <v>50</v>
      </c>
      <c r="I2366" t="s">
        <v>56</v>
      </c>
    </row>
    <row r="2367" spans="2:12" ht="15.75" customHeight="1">
      <c r="D2367" s="34" t="s">
        <v>126</v>
      </c>
      <c r="E2367">
        <v>190</v>
      </c>
      <c r="I2367" t="s">
        <v>56</v>
      </c>
    </row>
    <row r="2368" spans="2:12" ht="15.75" customHeight="1">
      <c r="D2368" s="34" t="s">
        <v>126</v>
      </c>
      <c r="E2368">
        <v>200</v>
      </c>
      <c r="I2368" t="s">
        <v>56</v>
      </c>
    </row>
    <row r="2369" spans="2:12" ht="15.75" customHeight="1">
      <c r="B2369" t="s">
        <v>99</v>
      </c>
      <c r="C2369" s="3" t="s">
        <v>100</v>
      </c>
      <c r="D2369" s="1" t="s">
        <v>126</v>
      </c>
      <c r="E2369">
        <v>210</v>
      </c>
      <c r="F2369">
        <v>1</v>
      </c>
      <c r="G2369" s="32">
        <v>1</v>
      </c>
      <c r="H2369">
        <v>1</v>
      </c>
      <c r="J2369" t="s">
        <v>19</v>
      </c>
      <c r="K2369" t="s">
        <v>20</v>
      </c>
      <c r="L2369" t="s">
        <v>26</v>
      </c>
    </row>
    <row r="2370" spans="2:12" ht="15.75" customHeight="1">
      <c r="B2370" t="s">
        <v>99</v>
      </c>
      <c r="C2370" s="3" t="s">
        <v>100</v>
      </c>
      <c r="D2370" s="1" t="s">
        <v>126</v>
      </c>
      <c r="E2370">
        <v>210</v>
      </c>
      <c r="F2370">
        <v>2</v>
      </c>
      <c r="G2370" s="32">
        <v>0</v>
      </c>
      <c r="H2370">
        <v>0</v>
      </c>
      <c r="J2370" t="s">
        <v>35</v>
      </c>
      <c r="L2370" t="s">
        <v>28</v>
      </c>
    </row>
    <row r="2371" spans="2:12" ht="15.75" customHeight="1">
      <c r="D2371" s="34" t="s">
        <v>126</v>
      </c>
      <c r="E2371">
        <v>220</v>
      </c>
      <c r="I2371" t="s">
        <v>56</v>
      </c>
    </row>
    <row r="2372" spans="2:12" ht="15.75" customHeight="1">
      <c r="D2372" s="34" t="s">
        <v>126</v>
      </c>
      <c r="E2372">
        <v>230</v>
      </c>
      <c r="F2372">
        <v>1</v>
      </c>
      <c r="H2372">
        <v>0</v>
      </c>
      <c r="J2372" t="s">
        <v>19</v>
      </c>
      <c r="L2372" t="s">
        <v>26</v>
      </c>
    </row>
    <row r="2373" spans="2:12" ht="15.75" customHeight="1">
      <c r="D2373" s="34" t="s">
        <v>126</v>
      </c>
      <c r="E2373">
        <v>230</v>
      </c>
      <c r="F2373">
        <v>2</v>
      </c>
      <c r="H2373">
        <v>2</v>
      </c>
      <c r="J2373" t="s">
        <v>38</v>
      </c>
      <c r="L2373" t="s">
        <v>28</v>
      </c>
    </row>
    <row r="2374" spans="2:12" ht="15.75" customHeight="1">
      <c r="D2374" s="34" t="s">
        <v>126</v>
      </c>
      <c r="E2374">
        <v>240</v>
      </c>
      <c r="I2374" t="s">
        <v>85</v>
      </c>
    </row>
    <row r="2375" spans="2:12" ht="15.75" customHeight="1">
      <c r="B2375" t="s">
        <v>99</v>
      </c>
      <c r="C2375" s="3" t="s">
        <v>100</v>
      </c>
      <c r="D2375" s="1" t="s">
        <v>126</v>
      </c>
      <c r="E2375">
        <v>250</v>
      </c>
      <c r="F2375">
        <v>1</v>
      </c>
      <c r="G2375" s="32">
        <v>1</v>
      </c>
      <c r="H2375">
        <v>1</v>
      </c>
      <c r="J2375" t="s">
        <v>19</v>
      </c>
      <c r="K2375" t="s">
        <v>20</v>
      </c>
      <c r="L2375" t="s">
        <v>26</v>
      </c>
    </row>
    <row r="2376" spans="2:12" ht="15.75" customHeight="1">
      <c r="B2376" t="s">
        <v>99</v>
      </c>
      <c r="C2376" s="3" t="s">
        <v>100</v>
      </c>
      <c r="D2376" s="1" t="s">
        <v>126</v>
      </c>
      <c r="E2376">
        <v>250</v>
      </c>
      <c r="F2376">
        <v>2</v>
      </c>
      <c r="G2376" s="32">
        <v>0</v>
      </c>
      <c r="H2376">
        <v>0</v>
      </c>
      <c r="J2376" t="s">
        <v>35</v>
      </c>
      <c r="L2376" t="s">
        <v>28</v>
      </c>
    </row>
    <row r="2377" spans="2:12" ht="15.75" customHeight="1">
      <c r="D2377" s="34" t="s">
        <v>126</v>
      </c>
      <c r="E2377">
        <v>260</v>
      </c>
      <c r="F2377">
        <v>1</v>
      </c>
      <c r="H2377">
        <v>1</v>
      </c>
      <c r="J2377" t="s">
        <v>19</v>
      </c>
      <c r="K2377" t="s">
        <v>34</v>
      </c>
      <c r="L2377" t="s">
        <v>26</v>
      </c>
    </row>
    <row r="2378" spans="2:12" ht="15.75" customHeight="1">
      <c r="D2378" s="34" t="s">
        <v>126</v>
      </c>
      <c r="E2378">
        <v>260</v>
      </c>
      <c r="F2378">
        <v>2</v>
      </c>
      <c r="H2378">
        <v>2</v>
      </c>
      <c r="J2378" t="s">
        <v>38</v>
      </c>
      <c r="K2378" t="s">
        <v>34</v>
      </c>
      <c r="L2378" t="s">
        <v>28</v>
      </c>
    </row>
    <row r="2379" spans="2:12" ht="15.75" customHeight="1">
      <c r="B2379" t="s">
        <v>99</v>
      </c>
      <c r="C2379" s="3" t="s">
        <v>100</v>
      </c>
      <c r="D2379" s="1" t="s">
        <v>126</v>
      </c>
      <c r="E2379">
        <v>270</v>
      </c>
      <c r="F2379">
        <v>1</v>
      </c>
      <c r="G2379" s="32">
        <v>3</v>
      </c>
      <c r="H2379">
        <v>0</v>
      </c>
      <c r="J2379" t="s">
        <v>35</v>
      </c>
      <c r="L2379" t="s">
        <v>28</v>
      </c>
    </row>
    <row r="2380" spans="2:12" ht="15.75" customHeight="1">
      <c r="B2380" t="s">
        <v>99</v>
      </c>
      <c r="C2380" s="3" t="s">
        <v>100</v>
      </c>
      <c r="D2380" s="1" t="s">
        <v>126</v>
      </c>
      <c r="E2380">
        <v>280</v>
      </c>
      <c r="F2380">
        <v>1</v>
      </c>
      <c r="G2380" s="32">
        <v>1</v>
      </c>
      <c r="H2380">
        <v>1</v>
      </c>
      <c r="J2380" t="s">
        <v>19</v>
      </c>
      <c r="K2380" t="s">
        <v>20</v>
      </c>
      <c r="L2380" t="s">
        <v>26</v>
      </c>
    </row>
    <row r="2381" spans="2:12" ht="15.75" customHeight="1">
      <c r="B2381" t="s">
        <v>99</v>
      </c>
      <c r="C2381" s="3" t="s">
        <v>100</v>
      </c>
      <c r="D2381" s="1" t="s">
        <v>126</v>
      </c>
      <c r="E2381">
        <v>280</v>
      </c>
      <c r="F2381">
        <v>2</v>
      </c>
      <c r="G2381" s="32">
        <v>3</v>
      </c>
      <c r="H2381">
        <v>0</v>
      </c>
      <c r="J2381" t="s">
        <v>46</v>
      </c>
    </row>
    <row r="2382" spans="2:12" ht="15.75" customHeight="1">
      <c r="D2382" s="34" t="s">
        <v>126</v>
      </c>
      <c r="E2382">
        <v>290</v>
      </c>
      <c r="F2382">
        <v>1</v>
      </c>
      <c r="H2382">
        <v>1</v>
      </c>
      <c r="J2382" t="s">
        <v>19</v>
      </c>
      <c r="K2382" t="s">
        <v>20</v>
      </c>
      <c r="L2382" t="s">
        <v>26</v>
      </c>
    </row>
    <row r="2383" spans="2:12" ht="15.75" customHeight="1">
      <c r="D2383" s="34" t="s">
        <v>126</v>
      </c>
      <c r="E2383">
        <v>290</v>
      </c>
      <c r="F2383">
        <v>2</v>
      </c>
      <c r="H2383">
        <v>2</v>
      </c>
      <c r="J2383" t="s">
        <v>53</v>
      </c>
      <c r="K2383" t="s">
        <v>31</v>
      </c>
      <c r="L2383" t="s">
        <v>28</v>
      </c>
    </row>
    <row r="2384" spans="2:12" ht="15.75" customHeight="1">
      <c r="D2384" s="34" t="s">
        <v>126</v>
      </c>
      <c r="E2384">
        <v>300</v>
      </c>
      <c r="F2384">
        <v>1</v>
      </c>
      <c r="H2384">
        <v>1</v>
      </c>
      <c r="J2384" t="s">
        <v>19</v>
      </c>
      <c r="K2384" t="s">
        <v>20</v>
      </c>
      <c r="L2384" t="s">
        <v>26</v>
      </c>
    </row>
    <row r="2385" spans="2:12" ht="15.75" customHeight="1">
      <c r="D2385" s="34" t="s">
        <v>126</v>
      </c>
      <c r="E2385">
        <v>300</v>
      </c>
      <c r="F2385">
        <v>2</v>
      </c>
      <c r="H2385">
        <v>0</v>
      </c>
      <c r="J2385" t="s">
        <v>57</v>
      </c>
      <c r="L2385" t="s">
        <v>28</v>
      </c>
    </row>
    <row r="2386" spans="2:12" ht="15.75" customHeight="1">
      <c r="B2386" t="s">
        <v>99</v>
      </c>
      <c r="C2386" s="3" t="s">
        <v>100</v>
      </c>
      <c r="D2386" s="1" t="s">
        <v>126</v>
      </c>
      <c r="E2386">
        <v>310</v>
      </c>
      <c r="F2386">
        <v>1</v>
      </c>
      <c r="I2386" t="s">
        <v>56</v>
      </c>
    </row>
    <row r="2387" spans="2:12" ht="15.75" customHeight="1">
      <c r="B2387" t="s">
        <v>99</v>
      </c>
      <c r="C2387" s="3" t="s">
        <v>100</v>
      </c>
      <c r="D2387" s="1" t="s">
        <v>126</v>
      </c>
      <c r="E2387">
        <v>320</v>
      </c>
      <c r="F2387">
        <v>1</v>
      </c>
      <c r="G2387" s="32">
        <v>3</v>
      </c>
      <c r="H2387">
        <v>0</v>
      </c>
      <c r="J2387" t="s">
        <v>46</v>
      </c>
    </row>
    <row r="2388" spans="2:12" ht="15.75" customHeight="1">
      <c r="B2388" t="s">
        <v>99</v>
      </c>
      <c r="C2388" s="3" t="s">
        <v>100</v>
      </c>
      <c r="D2388" s="1" t="s">
        <v>126</v>
      </c>
      <c r="E2388">
        <v>320</v>
      </c>
      <c r="F2388">
        <v>2</v>
      </c>
      <c r="G2388" s="32">
        <v>2</v>
      </c>
      <c r="H2388">
        <v>2</v>
      </c>
      <c r="J2388" t="s">
        <v>19</v>
      </c>
      <c r="K2388" t="s">
        <v>20</v>
      </c>
      <c r="L2388" t="s">
        <v>26</v>
      </c>
    </row>
    <row r="2389" spans="2:12" ht="15.75" customHeight="1">
      <c r="B2389" t="s">
        <v>99</v>
      </c>
      <c r="C2389" s="3" t="s">
        <v>100</v>
      </c>
      <c r="D2389" s="1" t="s">
        <v>126</v>
      </c>
      <c r="E2389">
        <v>320</v>
      </c>
      <c r="F2389">
        <v>3</v>
      </c>
      <c r="G2389" s="32">
        <v>2</v>
      </c>
      <c r="H2389">
        <v>2</v>
      </c>
      <c r="J2389" t="s">
        <v>52</v>
      </c>
      <c r="K2389" t="s">
        <v>33</v>
      </c>
      <c r="L2389" t="s">
        <v>28</v>
      </c>
    </row>
    <row r="2390" spans="2:12" ht="15.75" customHeight="1">
      <c r="B2390" t="s">
        <v>99</v>
      </c>
      <c r="C2390" s="3" t="s">
        <v>100</v>
      </c>
      <c r="D2390" s="1" t="s">
        <v>126</v>
      </c>
      <c r="E2390">
        <v>330</v>
      </c>
      <c r="F2390">
        <v>1</v>
      </c>
      <c r="G2390" s="32">
        <v>3</v>
      </c>
      <c r="H2390">
        <v>0</v>
      </c>
      <c r="J2390" t="s">
        <v>52</v>
      </c>
      <c r="L2390" t="s">
        <v>28</v>
      </c>
    </row>
    <row r="2391" spans="2:12" ht="15.75" customHeight="1">
      <c r="B2391" t="s">
        <v>99</v>
      </c>
      <c r="C2391" s="3" t="s">
        <v>100</v>
      </c>
      <c r="D2391" s="1" t="s">
        <v>126</v>
      </c>
      <c r="E2391">
        <v>330</v>
      </c>
      <c r="F2391">
        <v>2</v>
      </c>
      <c r="G2391" s="32">
        <v>3</v>
      </c>
      <c r="H2391">
        <v>0</v>
      </c>
      <c r="J2391" t="s">
        <v>46</v>
      </c>
    </row>
    <row r="2392" spans="2:12" ht="15.75" customHeight="1">
      <c r="B2392" t="s">
        <v>99</v>
      </c>
      <c r="C2392" s="3" t="s">
        <v>100</v>
      </c>
      <c r="D2392" s="1" t="s">
        <v>126</v>
      </c>
      <c r="E2392">
        <v>340</v>
      </c>
      <c r="F2392">
        <v>1</v>
      </c>
      <c r="G2392" s="32">
        <v>1</v>
      </c>
      <c r="H2392">
        <v>1</v>
      </c>
      <c r="J2392" t="s">
        <v>19</v>
      </c>
      <c r="K2392" t="s">
        <v>20</v>
      </c>
      <c r="L2392" t="s">
        <v>26</v>
      </c>
    </row>
    <row r="2393" spans="2:12" ht="15.75" customHeight="1">
      <c r="B2393" t="s">
        <v>99</v>
      </c>
      <c r="C2393" s="3" t="s">
        <v>100</v>
      </c>
      <c r="D2393" s="1" t="s">
        <v>126</v>
      </c>
      <c r="E2393">
        <v>340</v>
      </c>
      <c r="F2393">
        <v>2</v>
      </c>
      <c r="G2393" s="32">
        <v>1</v>
      </c>
      <c r="H2393">
        <v>2</v>
      </c>
      <c r="J2393" t="s">
        <v>47</v>
      </c>
      <c r="K2393" t="s">
        <v>33</v>
      </c>
      <c r="L2393" t="s">
        <v>28</v>
      </c>
    </row>
    <row r="2394" spans="2:12" ht="15.75" customHeight="1">
      <c r="D2394" s="34" t="s">
        <v>126</v>
      </c>
      <c r="E2394">
        <v>350</v>
      </c>
      <c r="F2394">
        <v>0</v>
      </c>
    </row>
    <row r="2395" spans="2:12" ht="15.75" customHeight="1">
      <c r="D2395" s="34" t="s">
        <v>126</v>
      </c>
      <c r="E2395">
        <v>360</v>
      </c>
      <c r="F2395">
        <v>1</v>
      </c>
      <c r="H2395">
        <v>1</v>
      </c>
      <c r="J2395" t="s">
        <v>19</v>
      </c>
      <c r="K2395" t="s">
        <v>20</v>
      </c>
      <c r="L2395" t="s">
        <v>26</v>
      </c>
    </row>
    <row r="2396" spans="2:12" ht="15.75" customHeight="1">
      <c r="D2396" s="34" t="s">
        <v>126</v>
      </c>
      <c r="E2396">
        <v>360</v>
      </c>
      <c r="F2396">
        <v>2</v>
      </c>
      <c r="H2396">
        <v>2</v>
      </c>
      <c r="J2396" t="s">
        <v>57</v>
      </c>
      <c r="K2396" t="s">
        <v>34</v>
      </c>
      <c r="L2396" t="s">
        <v>28</v>
      </c>
    </row>
    <row r="2397" spans="2:12" ht="15.75" customHeight="1">
      <c r="D2397" s="34" t="s">
        <v>126</v>
      </c>
      <c r="E2397">
        <v>370</v>
      </c>
      <c r="F2397">
        <v>1</v>
      </c>
      <c r="H2397">
        <v>0</v>
      </c>
      <c r="J2397" t="s">
        <v>57</v>
      </c>
      <c r="L2397" t="s">
        <v>28</v>
      </c>
    </row>
    <row r="2398" spans="2:12" ht="15.75" customHeight="1">
      <c r="B2398" t="s">
        <v>99</v>
      </c>
      <c r="C2398" s="3" t="s">
        <v>100</v>
      </c>
      <c r="D2398" s="1" t="s">
        <v>126</v>
      </c>
      <c r="E2398">
        <v>380</v>
      </c>
      <c r="F2398">
        <v>1</v>
      </c>
      <c r="G2398" s="32">
        <v>1</v>
      </c>
      <c r="H2398">
        <v>1</v>
      </c>
      <c r="J2398" t="s">
        <v>19</v>
      </c>
      <c r="K2398" t="s">
        <v>20</v>
      </c>
      <c r="L2398" t="s">
        <v>26</v>
      </c>
    </row>
    <row r="2399" spans="2:12" ht="15.75" customHeight="1">
      <c r="B2399" t="s">
        <v>99</v>
      </c>
      <c r="C2399" s="3" t="s">
        <v>100</v>
      </c>
      <c r="D2399" s="1" t="s">
        <v>126</v>
      </c>
      <c r="E2399">
        <v>380</v>
      </c>
      <c r="F2399">
        <v>2</v>
      </c>
      <c r="G2399" s="32">
        <v>0</v>
      </c>
      <c r="H2399">
        <v>0</v>
      </c>
      <c r="J2399" t="s">
        <v>47</v>
      </c>
      <c r="L2399" t="s">
        <v>28</v>
      </c>
    </row>
    <row r="2400" spans="2:12" ht="15.75" customHeight="1">
      <c r="D2400" s="34" t="s">
        <v>126</v>
      </c>
      <c r="E2400">
        <v>390</v>
      </c>
      <c r="F2400">
        <v>1</v>
      </c>
      <c r="H2400">
        <v>1</v>
      </c>
      <c r="J2400" t="s">
        <v>19</v>
      </c>
      <c r="K2400" t="s">
        <v>20</v>
      </c>
      <c r="L2400" t="s">
        <v>26</v>
      </c>
    </row>
    <row r="2401" spans="2:12" ht="15.75" customHeight="1">
      <c r="D2401" s="34" t="s">
        <v>126</v>
      </c>
      <c r="E2401">
        <v>390</v>
      </c>
      <c r="F2401">
        <v>2</v>
      </c>
      <c r="H2401">
        <v>1</v>
      </c>
      <c r="J2401" t="s">
        <v>19</v>
      </c>
      <c r="K2401" t="s">
        <v>20</v>
      </c>
      <c r="L2401" t="s">
        <v>26</v>
      </c>
    </row>
    <row r="2402" spans="2:12" ht="15.75" customHeight="1">
      <c r="B2402" t="s">
        <v>99</v>
      </c>
      <c r="C2402" s="3" t="s">
        <v>100</v>
      </c>
      <c r="D2402" s="1" t="s">
        <v>126</v>
      </c>
      <c r="E2402">
        <v>400</v>
      </c>
      <c r="F2402">
        <v>1</v>
      </c>
      <c r="G2402" s="32">
        <v>1</v>
      </c>
      <c r="H2402">
        <v>1</v>
      </c>
      <c r="J2402" t="s">
        <v>19</v>
      </c>
      <c r="K2402" t="s">
        <v>20</v>
      </c>
      <c r="L2402" t="s">
        <v>26</v>
      </c>
    </row>
    <row r="2403" spans="2:12" ht="15.75" customHeight="1">
      <c r="B2403" t="s">
        <v>99</v>
      </c>
      <c r="C2403" s="3" t="s">
        <v>100</v>
      </c>
      <c r="D2403" s="1" t="s">
        <v>126</v>
      </c>
      <c r="E2403">
        <v>400</v>
      </c>
      <c r="F2403">
        <v>2</v>
      </c>
      <c r="G2403" s="32">
        <v>2</v>
      </c>
      <c r="H2403">
        <v>2</v>
      </c>
      <c r="J2403" t="s">
        <v>47</v>
      </c>
      <c r="K2403" t="s">
        <v>33</v>
      </c>
      <c r="L2403" t="s">
        <v>28</v>
      </c>
    </row>
    <row r="2404" spans="2:12" ht="15.75" customHeight="1">
      <c r="B2404" t="s">
        <v>99</v>
      </c>
      <c r="C2404" s="3" t="s">
        <v>100</v>
      </c>
      <c r="D2404" s="1" t="s">
        <v>126</v>
      </c>
      <c r="E2404">
        <v>410</v>
      </c>
      <c r="F2404">
        <v>1</v>
      </c>
      <c r="G2404" s="32">
        <v>2</v>
      </c>
      <c r="H2404">
        <v>1</v>
      </c>
      <c r="J2404" t="s">
        <v>42</v>
      </c>
      <c r="K2404" t="s">
        <v>20</v>
      </c>
      <c r="L2404" t="s">
        <v>26</v>
      </c>
    </row>
    <row r="2405" spans="2:12" ht="15.75" customHeight="1">
      <c r="B2405" t="s">
        <v>99</v>
      </c>
      <c r="C2405" s="3" t="s">
        <v>100</v>
      </c>
      <c r="D2405" s="1" t="s">
        <v>126</v>
      </c>
      <c r="E2405">
        <v>410</v>
      </c>
      <c r="F2405">
        <v>2</v>
      </c>
      <c r="G2405" s="32">
        <v>1</v>
      </c>
      <c r="H2405">
        <v>1</v>
      </c>
      <c r="J2405" t="s">
        <v>42</v>
      </c>
      <c r="K2405" t="s">
        <v>20</v>
      </c>
      <c r="L2405" t="s">
        <v>26</v>
      </c>
    </row>
    <row r="2406" spans="2:12" ht="15.75" customHeight="1">
      <c r="D2406" s="34" t="s">
        <v>126</v>
      </c>
      <c r="E2406">
        <v>420</v>
      </c>
      <c r="F2406">
        <v>1</v>
      </c>
      <c r="H2406">
        <v>2</v>
      </c>
      <c r="J2406" t="s">
        <v>53</v>
      </c>
      <c r="K2406" t="s">
        <v>34</v>
      </c>
      <c r="L2406" t="s">
        <v>28</v>
      </c>
    </row>
    <row r="2407" spans="2:12" ht="15.75" customHeight="1">
      <c r="D2407" s="34" t="s">
        <v>126</v>
      </c>
      <c r="E2407">
        <v>430</v>
      </c>
      <c r="F2407">
        <v>0</v>
      </c>
    </row>
    <row r="2408" spans="2:12" ht="15.75" customHeight="1">
      <c r="B2408" t="s">
        <v>99</v>
      </c>
      <c r="C2408" s="3" t="s">
        <v>100</v>
      </c>
      <c r="D2408" s="1" t="s">
        <v>126</v>
      </c>
      <c r="E2408">
        <v>440</v>
      </c>
      <c r="F2408">
        <v>1</v>
      </c>
      <c r="G2408" s="32">
        <v>1</v>
      </c>
      <c r="H2408">
        <v>1</v>
      </c>
      <c r="J2408" t="s">
        <v>19</v>
      </c>
      <c r="K2408" t="s">
        <v>20</v>
      </c>
      <c r="L2408" t="s">
        <v>26</v>
      </c>
    </row>
    <row r="2409" spans="2:12" ht="15.75" customHeight="1">
      <c r="B2409" t="s">
        <v>99</v>
      </c>
      <c r="C2409" s="3" t="s">
        <v>100</v>
      </c>
      <c r="D2409" s="1" t="s">
        <v>126</v>
      </c>
      <c r="E2409">
        <v>440</v>
      </c>
      <c r="F2409">
        <v>2</v>
      </c>
      <c r="G2409" s="32">
        <v>2</v>
      </c>
      <c r="H2409">
        <v>2</v>
      </c>
      <c r="J2409" t="s">
        <v>35</v>
      </c>
      <c r="K2409" t="s">
        <v>36</v>
      </c>
      <c r="L2409" t="s">
        <v>28</v>
      </c>
    </row>
    <row r="2410" spans="2:12" ht="15.75" customHeight="1">
      <c r="B2410" t="s">
        <v>99</v>
      </c>
      <c r="C2410" s="3" t="s">
        <v>100</v>
      </c>
      <c r="D2410" s="1" t="s">
        <v>126</v>
      </c>
      <c r="E2410">
        <v>450</v>
      </c>
      <c r="F2410">
        <v>1</v>
      </c>
      <c r="G2410" s="32">
        <v>1</v>
      </c>
      <c r="H2410">
        <v>1</v>
      </c>
      <c r="J2410" t="s">
        <v>19</v>
      </c>
      <c r="K2410" t="s">
        <v>20</v>
      </c>
      <c r="L2410" t="s">
        <v>26</v>
      </c>
    </row>
    <row r="2411" spans="2:12" ht="15.75" customHeight="1">
      <c r="B2411" t="s">
        <v>99</v>
      </c>
      <c r="C2411" s="3" t="s">
        <v>100</v>
      </c>
      <c r="D2411" s="1" t="s">
        <v>126</v>
      </c>
      <c r="E2411">
        <v>450</v>
      </c>
      <c r="F2411">
        <v>2</v>
      </c>
      <c r="G2411" s="32">
        <v>2</v>
      </c>
      <c r="H2411">
        <v>2</v>
      </c>
      <c r="J2411" t="s">
        <v>35</v>
      </c>
      <c r="K2411" t="s">
        <v>36</v>
      </c>
      <c r="L2411" t="s">
        <v>28</v>
      </c>
    </row>
    <row r="2412" spans="2:12" ht="15.75" customHeight="1">
      <c r="B2412" t="s">
        <v>99</v>
      </c>
      <c r="C2412" s="3" t="s">
        <v>100</v>
      </c>
      <c r="D2412" s="1" t="s">
        <v>126</v>
      </c>
      <c r="E2412">
        <v>460</v>
      </c>
      <c r="F2412">
        <v>1</v>
      </c>
      <c r="G2412" s="32">
        <v>1</v>
      </c>
      <c r="H2412">
        <v>1</v>
      </c>
      <c r="J2412" t="s">
        <v>19</v>
      </c>
      <c r="K2412" t="s">
        <v>20</v>
      </c>
      <c r="L2412" t="s">
        <v>26</v>
      </c>
    </row>
    <row r="2413" spans="2:12" ht="15.75" customHeight="1">
      <c r="B2413" t="s">
        <v>99</v>
      </c>
      <c r="C2413" s="3" t="s">
        <v>100</v>
      </c>
      <c r="D2413" s="1" t="s">
        <v>126</v>
      </c>
      <c r="E2413">
        <v>460</v>
      </c>
      <c r="F2413">
        <v>2</v>
      </c>
      <c r="G2413" s="32">
        <v>0</v>
      </c>
      <c r="H2413">
        <v>0</v>
      </c>
      <c r="J2413" t="s">
        <v>35</v>
      </c>
      <c r="L2413" t="s">
        <v>28</v>
      </c>
    </row>
    <row r="2414" spans="2:12" ht="15.75" customHeight="1">
      <c r="D2414" s="34" t="s">
        <v>126</v>
      </c>
      <c r="E2414">
        <v>470</v>
      </c>
      <c r="F2414">
        <v>1</v>
      </c>
      <c r="H2414">
        <v>0</v>
      </c>
      <c r="J2414" t="s">
        <v>38</v>
      </c>
      <c r="L2414" t="s">
        <v>28</v>
      </c>
    </row>
    <row r="2415" spans="2:12" ht="15.75" customHeight="1">
      <c r="D2415" s="34" t="s">
        <v>126</v>
      </c>
      <c r="E2415">
        <v>480</v>
      </c>
      <c r="I2415" t="s">
        <v>56</v>
      </c>
    </row>
    <row r="2416" spans="2:12" ht="15.75" customHeight="1">
      <c r="D2416" s="34" t="s">
        <v>126</v>
      </c>
      <c r="E2416">
        <v>490</v>
      </c>
      <c r="F2416">
        <v>1</v>
      </c>
      <c r="H2416">
        <v>2</v>
      </c>
      <c r="J2416" t="s">
        <v>53</v>
      </c>
      <c r="K2416" t="s">
        <v>34</v>
      </c>
      <c r="L2416" t="s">
        <v>28</v>
      </c>
    </row>
    <row r="2417" spans="2:12" ht="15.75" customHeight="1">
      <c r="D2417" s="34" t="s">
        <v>126</v>
      </c>
      <c r="E2417">
        <v>500</v>
      </c>
      <c r="F2417">
        <v>1</v>
      </c>
      <c r="H2417">
        <v>2</v>
      </c>
      <c r="J2417" t="s">
        <v>57</v>
      </c>
      <c r="K2417" t="s">
        <v>34</v>
      </c>
      <c r="L2417" t="s">
        <v>28</v>
      </c>
    </row>
    <row r="2418" spans="2:12" ht="15.75" customHeight="1">
      <c r="D2418" s="34" t="s">
        <v>126</v>
      </c>
      <c r="E2418">
        <v>510</v>
      </c>
      <c r="F2418">
        <v>1</v>
      </c>
      <c r="H2418">
        <v>2</v>
      </c>
      <c r="J2418" t="s">
        <v>57</v>
      </c>
      <c r="K2418" t="s">
        <v>34</v>
      </c>
      <c r="L2418" t="s">
        <v>28</v>
      </c>
    </row>
    <row r="2419" spans="2:12" ht="15.75" customHeight="1">
      <c r="D2419" s="34" t="s">
        <v>126</v>
      </c>
      <c r="E2419">
        <v>520</v>
      </c>
      <c r="F2419">
        <v>1</v>
      </c>
      <c r="H2419">
        <v>2</v>
      </c>
      <c r="J2419" t="s">
        <v>57</v>
      </c>
      <c r="K2419" t="s">
        <v>34</v>
      </c>
      <c r="L2419" t="s">
        <v>28</v>
      </c>
    </row>
    <row r="2420" spans="2:12" ht="15.75" customHeight="1">
      <c r="B2420" t="s">
        <v>99</v>
      </c>
      <c r="C2420" s="3" t="s">
        <v>100</v>
      </c>
      <c r="D2420" s="1" t="s">
        <v>126</v>
      </c>
      <c r="E2420">
        <v>530</v>
      </c>
      <c r="F2420">
        <v>1</v>
      </c>
      <c r="G2420" s="32">
        <v>3</v>
      </c>
      <c r="H2420">
        <v>0</v>
      </c>
      <c r="J2420" t="s">
        <v>46</v>
      </c>
    </row>
    <row r="2421" spans="2:12" ht="15.75" customHeight="1">
      <c r="B2421" t="s">
        <v>99</v>
      </c>
      <c r="C2421" s="3" t="s">
        <v>100</v>
      </c>
      <c r="D2421" s="1" t="s">
        <v>126</v>
      </c>
      <c r="E2421">
        <v>530</v>
      </c>
      <c r="F2421">
        <v>2</v>
      </c>
      <c r="G2421" s="32">
        <v>0</v>
      </c>
      <c r="H2421">
        <v>0</v>
      </c>
      <c r="J2421" t="s">
        <v>47</v>
      </c>
      <c r="L2421" t="s">
        <v>28</v>
      </c>
    </row>
    <row r="2422" spans="2:12" ht="15.75" customHeight="1">
      <c r="B2422" t="s">
        <v>99</v>
      </c>
      <c r="C2422" s="3" t="s">
        <v>100</v>
      </c>
      <c r="D2422" s="1" t="s">
        <v>126</v>
      </c>
      <c r="E2422">
        <v>540</v>
      </c>
      <c r="F2422">
        <v>1</v>
      </c>
      <c r="G2422" s="32">
        <v>1</v>
      </c>
      <c r="H2422">
        <v>1</v>
      </c>
      <c r="J2422" t="s">
        <v>19</v>
      </c>
      <c r="K2422" t="s">
        <v>20</v>
      </c>
      <c r="L2422" t="s">
        <v>26</v>
      </c>
    </row>
    <row r="2423" spans="2:12" ht="15.75" customHeight="1">
      <c r="B2423" t="s">
        <v>99</v>
      </c>
      <c r="C2423" s="3" t="s">
        <v>100</v>
      </c>
      <c r="D2423" s="1" t="s">
        <v>126</v>
      </c>
      <c r="E2423">
        <v>540</v>
      </c>
      <c r="F2423">
        <v>2</v>
      </c>
      <c r="G2423" s="32">
        <v>2</v>
      </c>
      <c r="H2423">
        <v>2</v>
      </c>
      <c r="J2423" t="s">
        <v>47</v>
      </c>
      <c r="K2423" t="s">
        <v>33</v>
      </c>
      <c r="L2423" t="s">
        <v>28</v>
      </c>
    </row>
    <row r="2424" spans="2:12" ht="15.75" customHeight="1">
      <c r="B2424" t="s">
        <v>99</v>
      </c>
      <c r="C2424" s="3" t="s">
        <v>100</v>
      </c>
      <c r="D2424" s="1" t="s">
        <v>126</v>
      </c>
      <c r="E2424">
        <v>550</v>
      </c>
      <c r="F2424">
        <v>1</v>
      </c>
      <c r="G2424" s="32">
        <v>1</v>
      </c>
      <c r="H2424">
        <v>1</v>
      </c>
      <c r="J2424" t="s">
        <v>19</v>
      </c>
      <c r="K2424" t="s">
        <v>20</v>
      </c>
      <c r="L2424" t="s">
        <v>26</v>
      </c>
    </row>
    <row r="2425" spans="2:12" ht="15.75" customHeight="1">
      <c r="D2425" s="34" t="s">
        <v>126</v>
      </c>
      <c r="E2425">
        <v>560</v>
      </c>
      <c r="F2425">
        <v>1</v>
      </c>
      <c r="H2425">
        <v>2</v>
      </c>
      <c r="J2425" t="s">
        <v>103</v>
      </c>
      <c r="K2425" t="s">
        <v>27</v>
      </c>
      <c r="L2425" t="s">
        <v>28</v>
      </c>
    </row>
    <row r="2426" spans="2:12" ht="15.75" customHeight="1">
      <c r="D2426" s="34" t="s">
        <v>126</v>
      </c>
      <c r="E2426">
        <v>570</v>
      </c>
      <c r="F2426">
        <v>1</v>
      </c>
      <c r="H2426">
        <v>2</v>
      </c>
      <c r="J2426" t="s">
        <v>103</v>
      </c>
      <c r="K2426" t="s">
        <v>27</v>
      </c>
      <c r="L2426" t="s">
        <v>28</v>
      </c>
    </row>
    <row r="2427" spans="2:12" ht="15.75" customHeight="1">
      <c r="D2427" s="34" t="s">
        <v>126</v>
      </c>
      <c r="E2427">
        <v>580</v>
      </c>
      <c r="F2427">
        <v>1</v>
      </c>
      <c r="H2427">
        <v>2</v>
      </c>
      <c r="J2427" t="s">
        <v>103</v>
      </c>
      <c r="K2427" t="s">
        <v>27</v>
      </c>
      <c r="L2427" t="s">
        <v>28</v>
      </c>
    </row>
    <row r="2428" spans="2:12" ht="15.75" customHeight="1">
      <c r="D2428" s="34" t="s">
        <v>126</v>
      </c>
      <c r="E2428">
        <v>590</v>
      </c>
      <c r="I2428" t="s">
        <v>85</v>
      </c>
    </row>
    <row r="2429" spans="2:12" ht="15.75" customHeight="1">
      <c r="B2429" t="s">
        <v>99</v>
      </c>
      <c r="C2429" s="3" t="s">
        <v>100</v>
      </c>
      <c r="D2429" s="1" t="s">
        <v>126</v>
      </c>
      <c r="E2429">
        <v>600</v>
      </c>
      <c r="F2429">
        <v>1</v>
      </c>
      <c r="G2429" s="32">
        <v>1</v>
      </c>
      <c r="H2429">
        <v>1</v>
      </c>
      <c r="J2429" t="s">
        <v>19</v>
      </c>
      <c r="K2429" t="s">
        <v>20</v>
      </c>
      <c r="L2429" t="s">
        <v>26</v>
      </c>
    </row>
    <row r="2430" spans="2:12" ht="15.75" customHeight="1">
      <c r="B2430" t="s">
        <v>99</v>
      </c>
      <c r="C2430" s="3" t="s">
        <v>100</v>
      </c>
      <c r="D2430" s="1" t="s">
        <v>126</v>
      </c>
      <c r="E2430">
        <v>600</v>
      </c>
      <c r="F2430">
        <v>2</v>
      </c>
      <c r="G2430" s="32">
        <v>2</v>
      </c>
      <c r="H2430">
        <v>2</v>
      </c>
      <c r="J2430" t="s">
        <v>101</v>
      </c>
      <c r="K2430" t="s">
        <v>33</v>
      </c>
      <c r="L2430" t="s">
        <v>28</v>
      </c>
    </row>
    <row r="2431" spans="2:12" ht="15.75" customHeight="1">
      <c r="B2431" t="s">
        <v>99</v>
      </c>
      <c r="C2431" s="3" t="s">
        <v>100</v>
      </c>
      <c r="D2431" s="1" t="s">
        <v>126</v>
      </c>
      <c r="E2431">
        <v>610</v>
      </c>
      <c r="F2431">
        <v>1</v>
      </c>
      <c r="G2431" s="32">
        <v>3</v>
      </c>
      <c r="H2431">
        <v>0</v>
      </c>
      <c r="J2431" t="s">
        <v>46</v>
      </c>
    </row>
    <row r="2432" spans="2:12" ht="15.75" customHeight="1">
      <c r="B2432" t="s">
        <v>99</v>
      </c>
      <c r="C2432" s="3" t="s">
        <v>100</v>
      </c>
      <c r="D2432" s="1" t="s">
        <v>126</v>
      </c>
      <c r="E2432">
        <v>610</v>
      </c>
      <c r="F2432">
        <v>2</v>
      </c>
      <c r="G2432" s="32">
        <v>1</v>
      </c>
      <c r="H2432">
        <v>1</v>
      </c>
      <c r="J2432" t="s">
        <v>19</v>
      </c>
      <c r="K2432" t="s">
        <v>20</v>
      </c>
      <c r="L2432" t="s">
        <v>26</v>
      </c>
    </row>
    <row r="2433" spans="2:12" ht="15.75" customHeight="1">
      <c r="B2433" t="s">
        <v>99</v>
      </c>
      <c r="C2433" s="3" t="s">
        <v>100</v>
      </c>
      <c r="D2433" s="1" t="s">
        <v>126</v>
      </c>
      <c r="E2433">
        <v>620</v>
      </c>
      <c r="F2433">
        <v>2</v>
      </c>
      <c r="G2433" s="32">
        <v>1</v>
      </c>
      <c r="H2433">
        <v>1</v>
      </c>
      <c r="J2433" t="s">
        <v>19</v>
      </c>
      <c r="K2433" t="s">
        <v>20</v>
      </c>
      <c r="L2433" t="s">
        <v>26</v>
      </c>
    </row>
    <row r="2434" spans="2:12" ht="15.75" customHeight="1">
      <c r="B2434" t="s">
        <v>99</v>
      </c>
      <c r="C2434" s="3" t="s">
        <v>100</v>
      </c>
      <c r="D2434" s="1" t="s">
        <v>126</v>
      </c>
      <c r="E2434">
        <v>620</v>
      </c>
      <c r="F2434">
        <v>3</v>
      </c>
      <c r="G2434" s="32">
        <v>0</v>
      </c>
      <c r="H2434">
        <v>0</v>
      </c>
      <c r="J2434" t="s">
        <v>47</v>
      </c>
      <c r="L2434" t="s">
        <v>28</v>
      </c>
    </row>
    <row r="2435" spans="2:12" ht="15.75" customHeight="1">
      <c r="D2435" s="34" t="s">
        <v>126</v>
      </c>
      <c r="E2435">
        <v>630</v>
      </c>
      <c r="I2435" t="s">
        <v>85</v>
      </c>
    </row>
    <row r="2436" spans="2:12" ht="15.75" customHeight="1">
      <c r="D2436" s="34" t="s">
        <v>126</v>
      </c>
      <c r="E2436">
        <v>640</v>
      </c>
      <c r="F2436">
        <v>1</v>
      </c>
      <c r="H2436">
        <v>1</v>
      </c>
      <c r="J2436" t="s">
        <v>19</v>
      </c>
      <c r="K2436" t="s">
        <v>20</v>
      </c>
      <c r="L2436" t="s">
        <v>26</v>
      </c>
    </row>
    <row r="2437" spans="2:12" ht="15.75" customHeight="1">
      <c r="D2437" s="34" t="s">
        <v>126</v>
      </c>
      <c r="E2437">
        <v>640</v>
      </c>
      <c r="F2437">
        <v>2</v>
      </c>
      <c r="H2437">
        <v>0</v>
      </c>
      <c r="J2437" t="s">
        <v>53</v>
      </c>
      <c r="L2437" t="s">
        <v>28</v>
      </c>
    </row>
    <row r="2438" spans="2:12" ht="15.75" customHeight="1">
      <c r="D2438" s="34" t="s">
        <v>126</v>
      </c>
      <c r="E2438">
        <v>650</v>
      </c>
      <c r="F2438">
        <v>1</v>
      </c>
      <c r="H2438">
        <v>1</v>
      </c>
      <c r="J2438" t="s">
        <v>19</v>
      </c>
      <c r="K2438" t="s">
        <v>20</v>
      </c>
      <c r="L2438" t="s">
        <v>26</v>
      </c>
    </row>
    <row r="2439" spans="2:12" ht="15.75" customHeight="1">
      <c r="D2439" s="34" t="s">
        <v>126</v>
      </c>
      <c r="E2439">
        <v>660</v>
      </c>
      <c r="F2439">
        <v>1</v>
      </c>
      <c r="H2439">
        <v>1</v>
      </c>
      <c r="J2439" t="s">
        <v>19</v>
      </c>
      <c r="K2439" t="s">
        <v>20</v>
      </c>
      <c r="L2439" t="s">
        <v>26</v>
      </c>
    </row>
    <row r="2440" spans="2:12" ht="15.75" customHeight="1">
      <c r="D2440" s="34" t="s">
        <v>126</v>
      </c>
      <c r="E2440">
        <v>660</v>
      </c>
      <c r="F2440">
        <v>2</v>
      </c>
      <c r="H2440">
        <v>0</v>
      </c>
      <c r="J2440" t="s">
        <v>42</v>
      </c>
      <c r="L2440" t="s">
        <v>26</v>
      </c>
    </row>
    <row r="2441" spans="2:12" ht="15.75" customHeight="1">
      <c r="D2441" s="34" t="s">
        <v>126</v>
      </c>
      <c r="E2441">
        <v>660</v>
      </c>
      <c r="F2441">
        <v>3</v>
      </c>
      <c r="H2441">
        <v>1</v>
      </c>
      <c r="J2441" t="s">
        <v>38</v>
      </c>
      <c r="K2441" t="s">
        <v>34</v>
      </c>
      <c r="L2441" t="s">
        <v>28</v>
      </c>
    </row>
    <row r="2442" spans="2:12" ht="15.75" customHeight="1">
      <c r="B2442" t="s">
        <v>99</v>
      </c>
      <c r="C2442" s="3" t="s">
        <v>100</v>
      </c>
      <c r="D2442" s="1" t="s">
        <v>126</v>
      </c>
      <c r="E2442">
        <v>670</v>
      </c>
      <c r="F2442">
        <v>1</v>
      </c>
      <c r="G2442" s="32">
        <v>1</v>
      </c>
      <c r="H2442">
        <v>2</v>
      </c>
      <c r="J2442" t="s">
        <v>35</v>
      </c>
      <c r="K2442" t="s">
        <v>36</v>
      </c>
      <c r="L2442" t="s">
        <v>28</v>
      </c>
    </row>
    <row r="2443" spans="2:12" ht="15.75" customHeight="1">
      <c r="D2443" s="34" t="s">
        <v>126</v>
      </c>
      <c r="E2443">
        <v>680</v>
      </c>
      <c r="F2443">
        <v>1</v>
      </c>
      <c r="H2443">
        <v>1</v>
      </c>
      <c r="J2443" t="s">
        <v>19</v>
      </c>
      <c r="K2443" t="s">
        <v>20</v>
      </c>
      <c r="L2443" t="s">
        <v>26</v>
      </c>
    </row>
    <row r="2444" spans="2:12" ht="15.75" customHeight="1">
      <c r="D2444" s="34" t="s">
        <v>126</v>
      </c>
      <c r="E2444">
        <v>680</v>
      </c>
      <c r="F2444">
        <v>2</v>
      </c>
      <c r="H2444">
        <v>1</v>
      </c>
      <c r="J2444" t="s">
        <v>42</v>
      </c>
      <c r="K2444" t="s">
        <v>20</v>
      </c>
      <c r="L2444" t="s">
        <v>26</v>
      </c>
    </row>
    <row r="2445" spans="2:12" ht="15.75" customHeight="1">
      <c r="D2445" s="34" t="s">
        <v>126</v>
      </c>
      <c r="E2445">
        <v>680</v>
      </c>
      <c r="F2445">
        <v>3</v>
      </c>
      <c r="H2445">
        <v>0</v>
      </c>
      <c r="J2445" t="s">
        <v>38</v>
      </c>
      <c r="L2445" t="s">
        <v>28</v>
      </c>
    </row>
    <row r="2446" spans="2:12" ht="15.75" customHeight="1">
      <c r="D2446" s="34" t="s">
        <v>126</v>
      </c>
      <c r="E2446">
        <v>690</v>
      </c>
      <c r="F2446">
        <v>1</v>
      </c>
      <c r="H2446">
        <v>1</v>
      </c>
      <c r="J2446" t="s">
        <v>19</v>
      </c>
      <c r="K2446" t="s">
        <v>20</v>
      </c>
      <c r="L2446" t="s">
        <v>28</v>
      </c>
    </row>
    <row r="2447" spans="2:12" ht="15.75" customHeight="1">
      <c r="D2447" s="34" t="s">
        <v>126</v>
      </c>
      <c r="E2447">
        <v>690</v>
      </c>
      <c r="F2447">
        <v>2</v>
      </c>
      <c r="H2447">
        <v>2</v>
      </c>
      <c r="J2447" t="s">
        <v>38</v>
      </c>
      <c r="K2447" t="s">
        <v>34</v>
      </c>
      <c r="L2447" t="s">
        <v>28</v>
      </c>
    </row>
    <row r="2448" spans="2:12" ht="15.75" customHeight="1">
      <c r="D2448" s="34" t="s">
        <v>126</v>
      </c>
      <c r="E2448">
        <v>700</v>
      </c>
      <c r="F2448">
        <v>1</v>
      </c>
      <c r="H2448">
        <v>1</v>
      </c>
      <c r="J2448" t="s">
        <v>19</v>
      </c>
      <c r="K2448" t="s">
        <v>20</v>
      </c>
      <c r="L2448" t="s">
        <v>26</v>
      </c>
    </row>
    <row r="2449" spans="2:12" ht="15.75" customHeight="1">
      <c r="D2449" s="34" t="s">
        <v>126</v>
      </c>
      <c r="E2449">
        <v>700</v>
      </c>
      <c r="F2449">
        <v>2</v>
      </c>
      <c r="H2449">
        <v>2</v>
      </c>
      <c r="J2449" t="s">
        <v>38</v>
      </c>
      <c r="K2449" t="s">
        <v>34</v>
      </c>
      <c r="L2449" t="s">
        <v>28</v>
      </c>
    </row>
    <row r="2450" spans="2:12" ht="15.75" customHeight="1">
      <c r="B2450" t="s">
        <v>99</v>
      </c>
      <c r="C2450" s="3" t="s">
        <v>100</v>
      </c>
      <c r="D2450" s="1" t="s">
        <v>126</v>
      </c>
      <c r="E2450">
        <v>710</v>
      </c>
      <c r="F2450">
        <v>1</v>
      </c>
      <c r="G2450" s="32">
        <v>1</v>
      </c>
      <c r="H2450">
        <v>1</v>
      </c>
      <c r="J2450" t="s">
        <v>19</v>
      </c>
      <c r="K2450" t="s">
        <v>20</v>
      </c>
      <c r="L2450" t="s">
        <v>26</v>
      </c>
    </row>
    <row r="2451" spans="2:12" ht="15.75" customHeight="1">
      <c r="B2451" t="s">
        <v>99</v>
      </c>
      <c r="C2451" s="3" t="s">
        <v>100</v>
      </c>
      <c r="D2451" s="1" t="s">
        <v>126</v>
      </c>
      <c r="E2451">
        <v>720</v>
      </c>
      <c r="F2451">
        <v>1</v>
      </c>
      <c r="G2451" s="32">
        <v>1</v>
      </c>
      <c r="H2451">
        <v>2</v>
      </c>
      <c r="J2451" t="s">
        <v>52</v>
      </c>
      <c r="K2451" t="s">
        <v>33</v>
      </c>
      <c r="L2451" t="s">
        <v>28</v>
      </c>
    </row>
    <row r="2452" spans="2:12" ht="15.75" customHeight="1">
      <c r="D2452" s="34" t="s">
        <v>126</v>
      </c>
      <c r="E2452">
        <v>730</v>
      </c>
      <c r="F2452">
        <v>1</v>
      </c>
      <c r="H2452">
        <v>1</v>
      </c>
      <c r="J2452" t="s">
        <v>19</v>
      </c>
      <c r="K2452" t="s">
        <v>20</v>
      </c>
      <c r="L2452" t="s">
        <v>26</v>
      </c>
    </row>
    <row r="2453" spans="2:12" ht="15.75" customHeight="1">
      <c r="D2453" s="34" t="s">
        <v>126</v>
      </c>
      <c r="E2453">
        <v>730</v>
      </c>
      <c r="F2453">
        <v>2</v>
      </c>
      <c r="H2453">
        <v>0</v>
      </c>
      <c r="J2453" t="s">
        <v>57</v>
      </c>
      <c r="L2453" t="s">
        <v>28</v>
      </c>
    </row>
    <row r="2454" spans="2:12" ht="15.75" customHeight="1">
      <c r="D2454" s="34" t="s">
        <v>126</v>
      </c>
      <c r="E2454">
        <v>740</v>
      </c>
      <c r="F2454">
        <v>1</v>
      </c>
      <c r="H2454">
        <v>1</v>
      </c>
      <c r="J2454" t="s">
        <v>19</v>
      </c>
      <c r="K2454" t="s">
        <v>20</v>
      </c>
      <c r="L2454" t="s">
        <v>26</v>
      </c>
    </row>
    <row r="2455" spans="2:12" ht="15.75" customHeight="1">
      <c r="D2455" s="34" t="s">
        <v>126</v>
      </c>
      <c r="E2455">
        <v>740</v>
      </c>
      <c r="F2455">
        <v>2</v>
      </c>
      <c r="H2455">
        <v>2</v>
      </c>
      <c r="J2455" t="s">
        <v>53</v>
      </c>
      <c r="K2455" t="s">
        <v>34</v>
      </c>
      <c r="L2455" t="s">
        <v>28</v>
      </c>
    </row>
    <row r="2456" spans="2:12" ht="15.75" customHeight="1">
      <c r="D2456" s="34" t="s">
        <v>126</v>
      </c>
      <c r="E2456">
        <v>750</v>
      </c>
      <c r="F2456">
        <v>1</v>
      </c>
      <c r="H2456">
        <v>1</v>
      </c>
      <c r="J2456" t="s">
        <v>19</v>
      </c>
      <c r="K2456" t="s">
        <v>20</v>
      </c>
      <c r="L2456" t="s">
        <v>26</v>
      </c>
    </row>
    <row r="2457" spans="2:12" ht="15.75" customHeight="1">
      <c r="D2457" s="34" t="s">
        <v>126</v>
      </c>
      <c r="E2457">
        <v>750</v>
      </c>
      <c r="F2457">
        <v>2</v>
      </c>
      <c r="H2457">
        <v>2</v>
      </c>
      <c r="J2457" t="s">
        <v>53</v>
      </c>
      <c r="K2457" t="s">
        <v>34</v>
      </c>
      <c r="L2457" t="s">
        <v>28</v>
      </c>
    </row>
    <row r="2458" spans="2:12" ht="15.75" customHeight="1">
      <c r="D2458" s="34" t="s">
        <v>126</v>
      </c>
      <c r="E2458">
        <v>760</v>
      </c>
      <c r="F2458">
        <v>1</v>
      </c>
      <c r="H2458">
        <v>1</v>
      </c>
      <c r="J2458" t="s">
        <v>19</v>
      </c>
      <c r="K2458" t="s">
        <v>20</v>
      </c>
      <c r="L2458" t="s">
        <v>26</v>
      </c>
    </row>
    <row r="2459" spans="2:12" ht="15.75" customHeight="1">
      <c r="D2459" s="34" t="s">
        <v>126</v>
      </c>
      <c r="E2459">
        <v>760</v>
      </c>
      <c r="F2459">
        <v>2</v>
      </c>
      <c r="H2459">
        <v>2</v>
      </c>
      <c r="J2459" t="s">
        <v>53</v>
      </c>
      <c r="K2459" t="s">
        <v>34</v>
      </c>
      <c r="L2459" t="s">
        <v>28</v>
      </c>
    </row>
    <row r="2460" spans="2:12" ht="15.75" customHeight="1">
      <c r="D2460" s="34" t="s">
        <v>126</v>
      </c>
      <c r="E2460">
        <v>770</v>
      </c>
      <c r="I2460" t="s">
        <v>85</v>
      </c>
    </row>
    <row r="2461" spans="2:12" ht="15.75" customHeight="1">
      <c r="B2461" t="s">
        <v>99</v>
      </c>
      <c r="C2461" s="3" t="s">
        <v>100</v>
      </c>
      <c r="D2461" s="1" t="s">
        <v>126</v>
      </c>
      <c r="E2461">
        <v>780</v>
      </c>
      <c r="F2461">
        <v>1</v>
      </c>
      <c r="G2461" s="32">
        <v>3</v>
      </c>
      <c r="H2461">
        <v>0</v>
      </c>
      <c r="J2461" t="s">
        <v>46</v>
      </c>
    </row>
    <row r="2462" spans="2:12" ht="15.75" customHeight="1">
      <c r="B2462" t="s">
        <v>99</v>
      </c>
      <c r="C2462" s="3" t="s">
        <v>100</v>
      </c>
      <c r="D2462" s="1" t="s">
        <v>126</v>
      </c>
      <c r="E2462">
        <v>780</v>
      </c>
      <c r="F2462">
        <v>2</v>
      </c>
      <c r="G2462" s="32">
        <v>1</v>
      </c>
      <c r="H2462">
        <v>2</v>
      </c>
      <c r="J2462" t="s">
        <v>19</v>
      </c>
      <c r="K2462" t="s">
        <v>20</v>
      </c>
      <c r="L2462" t="s">
        <v>26</v>
      </c>
    </row>
    <row r="2463" spans="2:12" ht="15.75" customHeight="1">
      <c r="D2463" s="34" t="s">
        <v>126</v>
      </c>
      <c r="E2463">
        <v>790</v>
      </c>
      <c r="I2463" t="s">
        <v>56</v>
      </c>
    </row>
    <row r="2464" spans="2:12" ht="15.75" customHeight="1">
      <c r="D2464" s="34" t="s">
        <v>126</v>
      </c>
      <c r="E2464">
        <v>800</v>
      </c>
      <c r="I2464" t="s">
        <v>56</v>
      </c>
    </row>
    <row r="2465" spans="2:12" ht="15.75" customHeight="1">
      <c r="D2465" s="34" t="s">
        <v>126</v>
      </c>
      <c r="E2465">
        <v>810</v>
      </c>
      <c r="I2465" t="s">
        <v>56</v>
      </c>
    </row>
    <row r="2466" spans="2:12" ht="15.75" customHeight="1">
      <c r="B2466" t="s">
        <v>99</v>
      </c>
      <c r="C2466" s="3" t="s">
        <v>100</v>
      </c>
      <c r="D2466" s="1" t="s">
        <v>126</v>
      </c>
      <c r="E2466">
        <v>820</v>
      </c>
      <c r="F2466">
        <v>1</v>
      </c>
      <c r="G2466" s="32">
        <v>1</v>
      </c>
      <c r="H2466">
        <v>1</v>
      </c>
      <c r="J2466" t="s">
        <v>19</v>
      </c>
      <c r="K2466" t="s">
        <v>20</v>
      </c>
      <c r="L2466" t="s">
        <v>26</v>
      </c>
    </row>
    <row r="2467" spans="2:12" ht="15.75" customHeight="1">
      <c r="B2467" t="s">
        <v>99</v>
      </c>
      <c r="C2467" s="3" t="s">
        <v>100</v>
      </c>
      <c r="D2467" s="1" t="s">
        <v>126</v>
      </c>
      <c r="E2467">
        <v>820</v>
      </c>
      <c r="F2467">
        <v>2</v>
      </c>
      <c r="G2467" s="32">
        <v>0</v>
      </c>
      <c r="H2467">
        <v>0</v>
      </c>
      <c r="J2467" t="s">
        <v>42</v>
      </c>
      <c r="L2467" t="s">
        <v>26</v>
      </c>
    </row>
    <row r="2468" spans="2:12" ht="15.75" customHeight="1">
      <c r="B2468" t="s">
        <v>99</v>
      </c>
      <c r="C2468" s="3" t="s">
        <v>100</v>
      </c>
      <c r="D2468" s="1" t="s">
        <v>126</v>
      </c>
      <c r="E2468">
        <v>820</v>
      </c>
      <c r="F2468">
        <v>3</v>
      </c>
      <c r="G2468" s="32">
        <v>2</v>
      </c>
      <c r="H2468">
        <v>2</v>
      </c>
      <c r="J2468" t="s">
        <v>47</v>
      </c>
      <c r="K2468" t="s">
        <v>36</v>
      </c>
      <c r="L2468" t="s">
        <v>28</v>
      </c>
    </row>
    <row r="2469" spans="2:12" ht="15.75" customHeight="1">
      <c r="D2469" s="34" t="s">
        <v>126</v>
      </c>
      <c r="E2469">
        <v>830</v>
      </c>
      <c r="I2469" t="s">
        <v>56</v>
      </c>
    </row>
    <row r="2470" spans="2:12" ht="15.75" customHeight="1">
      <c r="B2470" t="s">
        <v>99</v>
      </c>
      <c r="C2470" s="3" t="s">
        <v>100</v>
      </c>
      <c r="D2470" s="1" t="s">
        <v>126</v>
      </c>
      <c r="E2470">
        <v>840</v>
      </c>
      <c r="F2470">
        <v>1</v>
      </c>
      <c r="G2470" s="32">
        <v>3</v>
      </c>
      <c r="H2470">
        <v>0</v>
      </c>
      <c r="J2470" t="s">
        <v>19</v>
      </c>
      <c r="L2470" t="s">
        <v>26</v>
      </c>
    </row>
    <row r="2471" spans="2:12" ht="15.75" customHeight="1">
      <c r="B2471" t="s">
        <v>99</v>
      </c>
      <c r="C2471" s="3" t="s">
        <v>100</v>
      </c>
      <c r="D2471" s="1" t="s">
        <v>126</v>
      </c>
      <c r="E2471">
        <v>840</v>
      </c>
      <c r="F2471">
        <v>2</v>
      </c>
      <c r="G2471" s="32">
        <v>2</v>
      </c>
      <c r="H2471">
        <v>1</v>
      </c>
      <c r="J2471" t="s">
        <v>47</v>
      </c>
      <c r="K2471" t="s">
        <v>36</v>
      </c>
      <c r="L2471" t="s">
        <v>28</v>
      </c>
    </row>
    <row r="2472" spans="2:12" ht="15.75" customHeight="1">
      <c r="D2472" s="34" t="s">
        <v>126</v>
      </c>
      <c r="E2472">
        <v>850</v>
      </c>
      <c r="I2472" t="s">
        <v>56</v>
      </c>
    </row>
    <row r="2473" spans="2:12" ht="15.75" customHeight="1">
      <c r="D2473" s="34" t="s">
        <v>126</v>
      </c>
      <c r="E2473">
        <v>860</v>
      </c>
      <c r="I2473" t="s">
        <v>56</v>
      </c>
    </row>
    <row r="2474" spans="2:12" ht="15.75" customHeight="1">
      <c r="D2474" s="34" t="s">
        <v>126</v>
      </c>
      <c r="E2474">
        <v>870</v>
      </c>
      <c r="F2474">
        <v>1</v>
      </c>
      <c r="H2474">
        <v>0</v>
      </c>
      <c r="J2474" t="s">
        <v>19</v>
      </c>
      <c r="L2474" t="s">
        <v>26</v>
      </c>
    </row>
    <row r="2475" spans="2:12" ht="15.75" customHeight="1">
      <c r="D2475" s="34" t="s">
        <v>126</v>
      </c>
      <c r="E2475">
        <v>870</v>
      </c>
      <c r="F2475">
        <v>2</v>
      </c>
      <c r="H2475">
        <v>1</v>
      </c>
      <c r="J2475" t="s">
        <v>57</v>
      </c>
      <c r="K2475" t="s">
        <v>34</v>
      </c>
      <c r="L2475" t="s">
        <v>28</v>
      </c>
    </row>
    <row r="2476" spans="2:12" ht="15.75" customHeight="1">
      <c r="D2476" s="34" t="s">
        <v>126</v>
      </c>
      <c r="E2476">
        <v>880</v>
      </c>
      <c r="F2476">
        <v>0</v>
      </c>
    </row>
    <row r="2477" spans="2:12" ht="15.75" customHeight="1">
      <c r="D2477" s="34" t="s">
        <v>126</v>
      </c>
      <c r="E2477">
        <v>890</v>
      </c>
      <c r="F2477">
        <v>1</v>
      </c>
      <c r="H2477">
        <v>1</v>
      </c>
      <c r="J2477" t="s">
        <v>19</v>
      </c>
      <c r="K2477" t="s">
        <v>20</v>
      </c>
      <c r="L2477" t="s">
        <v>26</v>
      </c>
    </row>
    <row r="2478" spans="2:12" ht="15.75" customHeight="1">
      <c r="D2478" s="34" t="s">
        <v>126</v>
      </c>
      <c r="E2478">
        <v>900</v>
      </c>
      <c r="F2478">
        <v>1</v>
      </c>
      <c r="H2478">
        <v>1</v>
      </c>
      <c r="J2478" t="s">
        <v>19</v>
      </c>
      <c r="K2478" t="s">
        <v>20</v>
      </c>
      <c r="L2478" t="s">
        <v>26</v>
      </c>
    </row>
    <row r="2479" spans="2:12" ht="15.75" customHeight="1">
      <c r="D2479" s="34" t="s">
        <v>126</v>
      </c>
      <c r="E2479">
        <v>910</v>
      </c>
      <c r="F2479">
        <v>1</v>
      </c>
      <c r="H2479">
        <v>1</v>
      </c>
      <c r="J2479" t="s">
        <v>19</v>
      </c>
      <c r="K2479" t="s">
        <v>20</v>
      </c>
      <c r="L2479" t="s">
        <v>26</v>
      </c>
    </row>
    <row r="2480" spans="2:12" ht="15.75" customHeight="1">
      <c r="B2480" t="s">
        <v>99</v>
      </c>
      <c r="C2480" s="3" t="s">
        <v>100</v>
      </c>
      <c r="D2480" s="1" t="s">
        <v>126</v>
      </c>
      <c r="E2480">
        <v>920</v>
      </c>
      <c r="F2480">
        <v>1</v>
      </c>
      <c r="G2480" s="32">
        <v>1</v>
      </c>
      <c r="H2480">
        <v>1</v>
      </c>
      <c r="J2480" t="s">
        <v>19</v>
      </c>
      <c r="K2480" t="s">
        <v>20</v>
      </c>
      <c r="L2480" t="s">
        <v>26</v>
      </c>
    </row>
    <row r="2481" spans="2:12" ht="15.75" customHeight="1">
      <c r="B2481" t="s">
        <v>99</v>
      </c>
      <c r="C2481" s="3" t="s">
        <v>100</v>
      </c>
      <c r="D2481" s="1" t="s">
        <v>126</v>
      </c>
      <c r="E2481">
        <v>920</v>
      </c>
      <c r="F2481">
        <v>2</v>
      </c>
      <c r="G2481" s="32">
        <v>2</v>
      </c>
      <c r="H2481">
        <v>1</v>
      </c>
      <c r="J2481" t="s">
        <v>47</v>
      </c>
      <c r="K2481" t="s">
        <v>33</v>
      </c>
      <c r="L2481" t="s">
        <v>28</v>
      </c>
    </row>
    <row r="2482" spans="2:12" ht="15.75" customHeight="1">
      <c r="B2482" t="s">
        <v>99</v>
      </c>
      <c r="C2482" s="3" t="s">
        <v>100</v>
      </c>
      <c r="D2482" s="1" t="s">
        <v>126</v>
      </c>
      <c r="E2482">
        <v>930</v>
      </c>
      <c r="F2482">
        <v>1</v>
      </c>
      <c r="G2482" s="32">
        <v>2</v>
      </c>
      <c r="H2482">
        <v>1</v>
      </c>
      <c r="J2482" t="s">
        <v>52</v>
      </c>
      <c r="K2482" t="s">
        <v>108</v>
      </c>
      <c r="L2482" t="s">
        <v>28</v>
      </c>
    </row>
    <row r="2483" spans="2:12" ht="15.75" customHeight="1">
      <c r="B2483" t="s">
        <v>99</v>
      </c>
      <c r="C2483" s="3" t="s">
        <v>100</v>
      </c>
      <c r="D2483" s="1" t="s">
        <v>126</v>
      </c>
      <c r="E2483">
        <v>930</v>
      </c>
      <c r="F2483">
        <v>2</v>
      </c>
      <c r="G2483" s="32">
        <v>1</v>
      </c>
      <c r="H2483">
        <v>1</v>
      </c>
      <c r="J2483" t="s">
        <v>19</v>
      </c>
      <c r="K2483" t="s">
        <v>20</v>
      </c>
      <c r="L2483" t="s">
        <v>26</v>
      </c>
    </row>
    <row r="2484" spans="2:12" ht="15.75" customHeight="1">
      <c r="B2484" t="s">
        <v>99</v>
      </c>
      <c r="C2484" s="3" t="s">
        <v>100</v>
      </c>
      <c r="D2484" s="1" t="s">
        <v>126</v>
      </c>
      <c r="E2484">
        <v>930</v>
      </c>
      <c r="F2484">
        <v>3</v>
      </c>
      <c r="G2484" s="32">
        <v>2</v>
      </c>
      <c r="H2484">
        <v>1</v>
      </c>
      <c r="J2484" t="s">
        <v>42</v>
      </c>
      <c r="K2484" t="s">
        <v>20</v>
      </c>
      <c r="L2484" t="s">
        <v>26</v>
      </c>
    </row>
    <row r="2485" spans="2:12" ht="15.75" customHeight="1">
      <c r="B2485" t="s">
        <v>99</v>
      </c>
      <c r="C2485" s="3" t="s">
        <v>100</v>
      </c>
      <c r="D2485" s="1" t="s">
        <v>126</v>
      </c>
      <c r="E2485">
        <v>940</v>
      </c>
      <c r="F2485">
        <v>1</v>
      </c>
      <c r="G2485" s="32">
        <v>2</v>
      </c>
      <c r="H2485">
        <v>1</v>
      </c>
      <c r="J2485" t="s">
        <v>47</v>
      </c>
      <c r="K2485" t="s">
        <v>36</v>
      </c>
      <c r="L2485" t="s">
        <v>28</v>
      </c>
    </row>
    <row r="2486" spans="2:12" ht="15.75" customHeight="1">
      <c r="B2486" t="s">
        <v>99</v>
      </c>
      <c r="C2486" s="3" t="s">
        <v>100</v>
      </c>
      <c r="D2486" s="1" t="s">
        <v>126</v>
      </c>
      <c r="E2486">
        <v>940</v>
      </c>
      <c r="F2486">
        <v>2</v>
      </c>
      <c r="G2486" s="32">
        <v>1</v>
      </c>
      <c r="H2486">
        <v>1</v>
      </c>
      <c r="J2486" t="s">
        <v>19</v>
      </c>
      <c r="K2486" t="s">
        <v>20</v>
      </c>
      <c r="L2486" t="s">
        <v>26</v>
      </c>
    </row>
    <row r="2487" spans="2:12" ht="15.75" customHeight="1">
      <c r="B2487" t="s">
        <v>99</v>
      </c>
      <c r="C2487" s="3" t="s">
        <v>100</v>
      </c>
      <c r="D2487" s="1" t="s">
        <v>126</v>
      </c>
      <c r="E2487">
        <v>940</v>
      </c>
      <c r="F2487">
        <v>3</v>
      </c>
      <c r="G2487" s="32">
        <v>2</v>
      </c>
      <c r="H2487">
        <v>1</v>
      </c>
      <c r="J2487" t="s">
        <v>127</v>
      </c>
      <c r="K2487" t="s">
        <v>20</v>
      </c>
      <c r="L2487" t="s">
        <v>26</v>
      </c>
    </row>
    <row r="2488" spans="2:12" ht="15.75" customHeight="1">
      <c r="B2488" t="s">
        <v>99</v>
      </c>
      <c r="C2488" s="3" t="s">
        <v>100</v>
      </c>
      <c r="D2488" s="1" t="s">
        <v>126</v>
      </c>
      <c r="E2488">
        <v>950</v>
      </c>
      <c r="F2488">
        <v>1</v>
      </c>
      <c r="G2488" s="32">
        <v>2</v>
      </c>
      <c r="H2488">
        <v>1</v>
      </c>
      <c r="J2488" t="s">
        <v>47</v>
      </c>
      <c r="K2488" t="s">
        <v>33</v>
      </c>
      <c r="L2488" t="s">
        <v>28</v>
      </c>
    </row>
    <row r="2489" spans="2:12" ht="15.75" customHeight="1">
      <c r="B2489" t="s">
        <v>99</v>
      </c>
      <c r="C2489" s="3" t="s">
        <v>100</v>
      </c>
      <c r="D2489" s="1" t="s">
        <v>126</v>
      </c>
      <c r="E2489">
        <v>950</v>
      </c>
      <c r="F2489">
        <v>2</v>
      </c>
      <c r="G2489" s="32">
        <v>1</v>
      </c>
      <c r="H2489">
        <v>1</v>
      </c>
      <c r="J2489" t="s">
        <v>19</v>
      </c>
      <c r="K2489" t="s">
        <v>20</v>
      </c>
      <c r="L2489" t="s">
        <v>26</v>
      </c>
    </row>
    <row r="2490" spans="2:12" ht="15.75" customHeight="1">
      <c r="B2490" t="s">
        <v>99</v>
      </c>
      <c r="C2490" s="3" t="s">
        <v>100</v>
      </c>
      <c r="D2490" s="1" t="s">
        <v>126</v>
      </c>
      <c r="E2490">
        <v>950</v>
      </c>
      <c r="F2490">
        <v>3</v>
      </c>
      <c r="G2490" s="32">
        <v>2</v>
      </c>
      <c r="H2490">
        <v>2</v>
      </c>
      <c r="J2490" t="s">
        <v>42</v>
      </c>
      <c r="K2490" t="s">
        <v>20</v>
      </c>
      <c r="L2490" t="s">
        <v>26</v>
      </c>
    </row>
    <row r="2491" spans="2:12" ht="15.75" customHeight="1">
      <c r="D2491" s="34" t="s">
        <v>126</v>
      </c>
      <c r="E2491">
        <v>960</v>
      </c>
      <c r="F2491">
        <v>1</v>
      </c>
      <c r="H2491">
        <v>1</v>
      </c>
      <c r="J2491" t="s">
        <v>19</v>
      </c>
      <c r="K2491" t="s">
        <v>20</v>
      </c>
      <c r="L2491" t="s">
        <v>26</v>
      </c>
    </row>
    <row r="2492" spans="2:12" ht="15.75" customHeight="1">
      <c r="D2492" s="34" t="s">
        <v>126</v>
      </c>
      <c r="E2492">
        <v>960</v>
      </c>
      <c r="F2492">
        <v>1</v>
      </c>
      <c r="H2492">
        <v>0</v>
      </c>
      <c r="J2492" t="s">
        <v>57</v>
      </c>
      <c r="L2492" t="s">
        <v>28</v>
      </c>
    </row>
    <row r="2493" spans="2:12" ht="15.75" customHeight="1">
      <c r="D2493" s="34" t="s">
        <v>126</v>
      </c>
      <c r="E2493">
        <v>970</v>
      </c>
      <c r="F2493">
        <v>1</v>
      </c>
      <c r="H2493">
        <v>0</v>
      </c>
      <c r="J2493" t="s">
        <v>19</v>
      </c>
      <c r="L2493" t="s">
        <v>26</v>
      </c>
    </row>
    <row r="2494" spans="2:12" ht="15.75" customHeight="1">
      <c r="D2494" s="34" t="s">
        <v>126</v>
      </c>
      <c r="E2494">
        <v>970</v>
      </c>
      <c r="F2494">
        <v>2</v>
      </c>
      <c r="H2494">
        <v>1</v>
      </c>
      <c r="J2494" t="s">
        <v>57</v>
      </c>
      <c r="K2494" t="s">
        <v>34</v>
      </c>
      <c r="L2494" t="s">
        <v>28</v>
      </c>
    </row>
    <row r="2495" spans="2:12" ht="15.75" customHeight="1">
      <c r="B2495" t="s">
        <v>99</v>
      </c>
      <c r="C2495" s="3" t="s">
        <v>100</v>
      </c>
      <c r="D2495" s="1" t="s">
        <v>126</v>
      </c>
      <c r="E2495">
        <v>980</v>
      </c>
      <c r="F2495">
        <v>1</v>
      </c>
      <c r="G2495" s="32">
        <v>2</v>
      </c>
      <c r="H2495">
        <v>1</v>
      </c>
      <c r="J2495" t="s">
        <v>47</v>
      </c>
      <c r="K2495" t="s">
        <v>33</v>
      </c>
      <c r="L2495" t="s">
        <v>28</v>
      </c>
    </row>
    <row r="2496" spans="2:12" ht="15.75" customHeight="1">
      <c r="B2496" t="s">
        <v>99</v>
      </c>
      <c r="C2496" s="3" t="s">
        <v>100</v>
      </c>
      <c r="D2496" s="1" t="s">
        <v>126</v>
      </c>
      <c r="E2496">
        <v>980</v>
      </c>
      <c r="F2496">
        <v>2</v>
      </c>
      <c r="G2496" s="32">
        <v>1</v>
      </c>
      <c r="H2496">
        <v>1</v>
      </c>
      <c r="J2496" t="s">
        <v>19</v>
      </c>
      <c r="K2496" t="s">
        <v>20</v>
      </c>
      <c r="L2496" t="s">
        <v>26</v>
      </c>
    </row>
    <row r="2497" spans="2:12" ht="15.75" customHeight="1">
      <c r="B2497" t="s">
        <v>99</v>
      </c>
      <c r="C2497" s="3" t="s">
        <v>100</v>
      </c>
      <c r="D2497" s="1" t="s">
        <v>126</v>
      </c>
      <c r="E2497">
        <v>980</v>
      </c>
      <c r="F2497">
        <v>3</v>
      </c>
      <c r="G2497" s="32">
        <v>2</v>
      </c>
      <c r="H2497">
        <v>1</v>
      </c>
      <c r="J2497" t="s">
        <v>42</v>
      </c>
      <c r="K2497" t="s">
        <v>20</v>
      </c>
      <c r="L2497" t="s">
        <v>26</v>
      </c>
    </row>
    <row r="2498" spans="2:12" ht="15.75" customHeight="1">
      <c r="B2498" t="s">
        <v>99</v>
      </c>
      <c r="C2498" s="3" t="s">
        <v>100</v>
      </c>
      <c r="D2498" s="1" t="s">
        <v>126</v>
      </c>
      <c r="E2498">
        <v>990</v>
      </c>
      <c r="F2498">
        <v>1</v>
      </c>
      <c r="G2498" s="32">
        <v>1</v>
      </c>
      <c r="H2498">
        <v>1</v>
      </c>
      <c r="J2498" t="s">
        <v>19</v>
      </c>
      <c r="K2498" t="s">
        <v>20</v>
      </c>
      <c r="L2498" t="s">
        <v>26</v>
      </c>
    </row>
    <row r="2499" spans="2:12" ht="15.75" customHeight="1">
      <c r="B2499" t="s">
        <v>99</v>
      </c>
      <c r="C2499" s="3" t="s">
        <v>100</v>
      </c>
      <c r="D2499" s="1" t="s">
        <v>126</v>
      </c>
      <c r="E2499">
        <v>990</v>
      </c>
      <c r="F2499">
        <v>2</v>
      </c>
      <c r="G2499" s="32">
        <v>2</v>
      </c>
      <c r="H2499">
        <v>1</v>
      </c>
      <c r="J2499" t="s">
        <v>47</v>
      </c>
      <c r="K2499" t="s">
        <v>36</v>
      </c>
      <c r="L2499" t="s">
        <v>28</v>
      </c>
    </row>
    <row r="2500" spans="2:12" ht="15.75" customHeight="1">
      <c r="B2500" t="s">
        <v>99</v>
      </c>
      <c r="C2500" s="3" t="s">
        <v>100</v>
      </c>
      <c r="D2500" s="1" t="s">
        <v>126</v>
      </c>
      <c r="E2500">
        <v>990</v>
      </c>
      <c r="F2500">
        <v>3</v>
      </c>
      <c r="G2500" s="32">
        <v>3</v>
      </c>
      <c r="H2500">
        <v>0</v>
      </c>
      <c r="J2500" t="s">
        <v>42</v>
      </c>
      <c r="L2500" t="s">
        <v>26</v>
      </c>
    </row>
    <row r="2501" spans="2:12" ht="15.75" customHeight="1">
      <c r="B2501" t="s">
        <v>99</v>
      </c>
      <c r="C2501" s="3" t="s">
        <v>100</v>
      </c>
      <c r="D2501" s="1" t="s">
        <v>126</v>
      </c>
      <c r="E2501">
        <v>1000</v>
      </c>
      <c r="F2501">
        <v>1</v>
      </c>
      <c r="G2501" s="32">
        <v>2</v>
      </c>
      <c r="H2501">
        <v>1</v>
      </c>
      <c r="J2501" t="s">
        <v>19</v>
      </c>
      <c r="K2501" t="s">
        <v>20</v>
      </c>
      <c r="L2501" t="s">
        <v>26</v>
      </c>
    </row>
    <row r="2502" spans="2:12" ht="15.75" customHeight="1">
      <c r="B2502" t="s">
        <v>99</v>
      </c>
      <c r="C2502" s="3" t="s">
        <v>100</v>
      </c>
      <c r="D2502" s="1" t="s">
        <v>126</v>
      </c>
      <c r="E2502">
        <v>1000</v>
      </c>
      <c r="F2502">
        <v>2</v>
      </c>
      <c r="G2502" s="32">
        <v>1</v>
      </c>
      <c r="H2502">
        <v>1</v>
      </c>
      <c r="J2502" t="s">
        <v>42</v>
      </c>
      <c r="K2502" t="s">
        <v>20</v>
      </c>
      <c r="L2502" t="s">
        <v>26</v>
      </c>
    </row>
    <row r="2503" spans="2:12" ht="15.75" customHeight="1">
      <c r="B2503" t="s">
        <v>99</v>
      </c>
      <c r="C2503" s="3" t="s">
        <v>100</v>
      </c>
      <c r="D2503" s="1" t="s">
        <v>126</v>
      </c>
      <c r="E2503">
        <v>1000</v>
      </c>
      <c r="F2503">
        <v>3</v>
      </c>
      <c r="G2503" s="32">
        <v>0</v>
      </c>
      <c r="H2503">
        <v>0</v>
      </c>
      <c r="J2503" t="s">
        <v>47</v>
      </c>
      <c r="L2503" t="s">
        <v>28</v>
      </c>
    </row>
    <row r="2504" spans="2:12" ht="15.75" customHeight="1">
      <c r="B2504" t="s">
        <v>99</v>
      </c>
      <c r="C2504" s="3" t="s">
        <v>100</v>
      </c>
      <c r="D2504" s="1" t="s">
        <v>126</v>
      </c>
      <c r="E2504">
        <v>1010</v>
      </c>
      <c r="F2504">
        <v>1</v>
      </c>
      <c r="G2504" s="32">
        <v>2</v>
      </c>
      <c r="H2504">
        <v>1</v>
      </c>
      <c r="J2504" t="s">
        <v>19</v>
      </c>
      <c r="K2504" t="s">
        <v>20</v>
      </c>
      <c r="L2504" t="s">
        <v>26</v>
      </c>
    </row>
    <row r="2505" spans="2:12" ht="15.75" customHeight="1">
      <c r="B2505" t="s">
        <v>99</v>
      </c>
      <c r="C2505" s="3" t="s">
        <v>100</v>
      </c>
      <c r="D2505" s="1" t="s">
        <v>126</v>
      </c>
      <c r="E2505">
        <v>1010</v>
      </c>
      <c r="F2505">
        <v>2</v>
      </c>
      <c r="G2505" s="32">
        <v>1</v>
      </c>
      <c r="H2505">
        <v>1</v>
      </c>
      <c r="J2505" t="s">
        <v>42</v>
      </c>
      <c r="K2505" t="s">
        <v>20</v>
      </c>
      <c r="L2505" t="s">
        <v>26</v>
      </c>
    </row>
    <row r="2506" spans="2:12" ht="15.75" customHeight="1">
      <c r="B2506" t="s">
        <v>99</v>
      </c>
      <c r="C2506" s="3" t="s">
        <v>100</v>
      </c>
      <c r="D2506" s="1" t="s">
        <v>126</v>
      </c>
      <c r="E2506">
        <v>1010</v>
      </c>
      <c r="F2506">
        <v>3</v>
      </c>
      <c r="G2506" s="32">
        <v>0</v>
      </c>
      <c r="H2506">
        <v>0</v>
      </c>
      <c r="J2506" t="s">
        <v>47</v>
      </c>
      <c r="L2506" t="s">
        <v>28</v>
      </c>
    </row>
    <row r="2507" spans="2:12" ht="15.75" customHeight="1">
      <c r="B2507" t="s">
        <v>99</v>
      </c>
      <c r="C2507" s="3" t="s">
        <v>100</v>
      </c>
      <c r="D2507" s="1" t="s">
        <v>126</v>
      </c>
      <c r="E2507">
        <v>1010</v>
      </c>
      <c r="F2507">
        <v>4</v>
      </c>
      <c r="G2507" s="32">
        <v>3</v>
      </c>
      <c r="H2507">
        <v>0</v>
      </c>
      <c r="J2507" t="s">
        <v>46</v>
      </c>
    </row>
    <row r="2508" spans="2:12" ht="15.75" customHeight="1">
      <c r="D2508" s="34" t="s">
        <v>126</v>
      </c>
      <c r="E2508">
        <v>1020</v>
      </c>
      <c r="F2508">
        <v>1</v>
      </c>
      <c r="H2508">
        <v>0</v>
      </c>
      <c r="J2508" t="s">
        <v>19</v>
      </c>
      <c r="L2508" t="s">
        <v>26</v>
      </c>
    </row>
    <row r="2509" spans="2:12" ht="15.75" customHeight="1">
      <c r="D2509" s="34" t="s">
        <v>126</v>
      </c>
      <c r="E2509">
        <v>1020</v>
      </c>
      <c r="F2509">
        <v>2</v>
      </c>
      <c r="H2509">
        <v>2</v>
      </c>
      <c r="J2509" t="s">
        <v>57</v>
      </c>
      <c r="K2509" t="s">
        <v>34</v>
      </c>
      <c r="L2509" t="s">
        <v>28</v>
      </c>
    </row>
    <row r="2510" spans="2:12" ht="15.75" customHeight="1">
      <c r="B2510" t="s">
        <v>99</v>
      </c>
      <c r="C2510" s="3" t="s">
        <v>100</v>
      </c>
      <c r="D2510" s="1" t="s">
        <v>126</v>
      </c>
      <c r="E2510">
        <v>1030</v>
      </c>
      <c r="F2510">
        <v>1</v>
      </c>
      <c r="G2510" s="32">
        <v>1</v>
      </c>
      <c r="H2510">
        <v>1</v>
      </c>
      <c r="J2510" t="s">
        <v>19</v>
      </c>
      <c r="K2510" t="s">
        <v>20</v>
      </c>
      <c r="L2510" t="s">
        <v>26</v>
      </c>
    </row>
    <row r="2511" spans="2:12" ht="15.75" customHeight="1">
      <c r="B2511" t="s">
        <v>99</v>
      </c>
      <c r="C2511" s="3" t="s">
        <v>100</v>
      </c>
      <c r="D2511" s="1" t="s">
        <v>126</v>
      </c>
      <c r="E2511">
        <v>1030</v>
      </c>
      <c r="F2511">
        <v>2</v>
      </c>
      <c r="G2511" s="32">
        <v>2</v>
      </c>
      <c r="H2511">
        <v>2</v>
      </c>
      <c r="J2511" t="s">
        <v>47</v>
      </c>
      <c r="K2511" t="s">
        <v>33</v>
      </c>
      <c r="L2511" t="s">
        <v>28</v>
      </c>
    </row>
    <row r="2512" spans="2:12" ht="15.75" customHeight="1">
      <c r="D2512" s="34" t="s">
        <v>126</v>
      </c>
      <c r="E2512">
        <v>1040</v>
      </c>
      <c r="F2512">
        <v>0</v>
      </c>
    </row>
    <row r="2513" spans="2:12" ht="15.75" customHeight="1">
      <c r="B2513" t="s">
        <v>99</v>
      </c>
      <c r="C2513" s="3" t="s">
        <v>100</v>
      </c>
      <c r="D2513" s="1" t="s">
        <v>126</v>
      </c>
      <c r="E2513">
        <v>1050</v>
      </c>
      <c r="F2513">
        <v>1</v>
      </c>
      <c r="G2513" s="32">
        <v>2</v>
      </c>
      <c r="H2513">
        <v>1</v>
      </c>
      <c r="J2513" t="s">
        <v>19</v>
      </c>
      <c r="K2513" t="s">
        <v>20</v>
      </c>
      <c r="L2513" t="s">
        <v>26</v>
      </c>
    </row>
    <row r="2514" spans="2:12" ht="15.75" customHeight="1">
      <c r="B2514" t="s">
        <v>99</v>
      </c>
      <c r="C2514" s="3" t="s">
        <v>100</v>
      </c>
      <c r="D2514" s="1" t="s">
        <v>126</v>
      </c>
      <c r="E2514">
        <v>1050</v>
      </c>
      <c r="F2514">
        <v>2</v>
      </c>
      <c r="G2514" s="32">
        <v>1</v>
      </c>
      <c r="H2514">
        <v>1</v>
      </c>
      <c r="J2514" t="s">
        <v>42</v>
      </c>
      <c r="K2514" t="s">
        <v>20</v>
      </c>
      <c r="L2514" t="s">
        <v>26</v>
      </c>
    </row>
    <row r="2515" spans="2:12" ht="15.75" customHeight="1">
      <c r="B2515" t="s">
        <v>99</v>
      </c>
      <c r="C2515" s="3" t="s">
        <v>100</v>
      </c>
      <c r="D2515" s="1" t="s">
        <v>126</v>
      </c>
      <c r="E2515">
        <v>1050</v>
      </c>
      <c r="F2515">
        <v>3</v>
      </c>
      <c r="G2515" s="32">
        <v>2</v>
      </c>
      <c r="H2515">
        <v>2</v>
      </c>
      <c r="J2515" t="s">
        <v>47</v>
      </c>
      <c r="K2515" t="s">
        <v>36</v>
      </c>
      <c r="L2515" t="s">
        <v>28</v>
      </c>
    </row>
    <row r="2516" spans="2:12" ht="15.75" customHeight="1">
      <c r="B2516" t="s">
        <v>99</v>
      </c>
      <c r="C2516" s="3" t="s">
        <v>100</v>
      </c>
      <c r="D2516" s="1" t="s">
        <v>126</v>
      </c>
      <c r="E2516">
        <v>1060</v>
      </c>
      <c r="F2516">
        <v>1</v>
      </c>
      <c r="G2516" s="32">
        <v>1</v>
      </c>
      <c r="H2516">
        <v>1</v>
      </c>
      <c r="J2516" t="s">
        <v>19</v>
      </c>
      <c r="K2516" t="s">
        <v>20</v>
      </c>
      <c r="L2516" t="s">
        <v>26</v>
      </c>
    </row>
    <row r="2517" spans="2:12" ht="15.75" customHeight="1">
      <c r="B2517" t="s">
        <v>99</v>
      </c>
      <c r="C2517" s="3" t="s">
        <v>100</v>
      </c>
      <c r="D2517" s="1" t="s">
        <v>126</v>
      </c>
      <c r="E2517">
        <v>1060</v>
      </c>
      <c r="F2517">
        <v>2</v>
      </c>
      <c r="G2517" s="32">
        <v>2</v>
      </c>
      <c r="H2517">
        <v>2</v>
      </c>
      <c r="J2517" t="s">
        <v>47</v>
      </c>
      <c r="K2517" t="s">
        <v>33</v>
      </c>
      <c r="L2517" t="s">
        <v>28</v>
      </c>
    </row>
    <row r="2518" spans="2:12" ht="15.75" customHeight="1">
      <c r="D2518" s="34" t="s">
        <v>126</v>
      </c>
      <c r="E2518">
        <v>1070</v>
      </c>
      <c r="F2518">
        <v>0</v>
      </c>
    </row>
    <row r="2519" spans="2:12" ht="15.75" customHeight="1">
      <c r="B2519" t="s">
        <v>99</v>
      </c>
      <c r="C2519" s="3" t="s">
        <v>100</v>
      </c>
      <c r="D2519" s="1" t="s">
        <v>126</v>
      </c>
      <c r="E2519">
        <v>1080</v>
      </c>
      <c r="F2519">
        <v>1</v>
      </c>
      <c r="G2519" s="32">
        <v>1</v>
      </c>
      <c r="H2519">
        <v>1</v>
      </c>
      <c r="J2519" t="s">
        <v>19</v>
      </c>
      <c r="K2519" t="s">
        <v>20</v>
      </c>
      <c r="L2519" t="s">
        <v>26</v>
      </c>
    </row>
    <row r="2520" spans="2:12" ht="15.75" customHeight="1">
      <c r="B2520" t="s">
        <v>99</v>
      </c>
      <c r="C2520" s="3" t="s">
        <v>100</v>
      </c>
      <c r="D2520" s="1" t="s">
        <v>126</v>
      </c>
      <c r="E2520">
        <v>1080</v>
      </c>
      <c r="F2520">
        <v>2</v>
      </c>
      <c r="G2520" s="32">
        <v>2</v>
      </c>
      <c r="H2520">
        <v>2</v>
      </c>
      <c r="J2520" t="s">
        <v>52</v>
      </c>
      <c r="K2520" t="s">
        <v>33</v>
      </c>
      <c r="L2520" t="s">
        <v>28</v>
      </c>
    </row>
    <row r="2521" spans="2:12" ht="15.75" customHeight="1">
      <c r="D2521" s="34" t="s">
        <v>126</v>
      </c>
      <c r="E2521">
        <v>1090</v>
      </c>
      <c r="F2521">
        <v>1</v>
      </c>
      <c r="H2521">
        <v>1</v>
      </c>
      <c r="J2521" t="s">
        <v>19</v>
      </c>
      <c r="K2521" t="s">
        <v>20</v>
      </c>
      <c r="L2521" t="s">
        <v>26</v>
      </c>
    </row>
    <row r="2522" spans="2:12" ht="15.75" customHeight="1">
      <c r="D2522" s="34" t="s">
        <v>126</v>
      </c>
      <c r="E2522">
        <v>1090</v>
      </c>
      <c r="F2522">
        <v>2</v>
      </c>
      <c r="H2522">
        <v>0</v>
      </c>
      <c r="J2522" t="s">
        <v>53</v>
      </c>
      <c r="L2522" t="s">
        <v>28</v>
      </c>
    </row>
    <row r="2523" spans="2:12" ht="15.75" customHeight="1">
      <c r="B2523" t="s">
        <v>99</v>
      </c>
      <c r="C2523" s="3" t="s">
        <v>100</v>
      </c>
      <c r="D2523" s="1" t="s">
        <v>126</v>
      </c>
      <c r="E2523">
        <v>1100</v>
      </c>
      <c r="F2523">
        <v>1</v>
      </c>
      <c r="G2523" s="32">
        <v>1</v>
      </c>
      <c r="H2523">
        <v>1</v>
      </c>
      <c r="J2523" t="s">
        <v>19</v>
      </c>
      <c r="K2523" t="s">
        <v>20</v>
      </c>
      <c r="L2523" t="s">
        <v>26</v>
      </c>
    </row>
    <row r="2524" spans="2:12" ht="15.75" customHeight="1">
      <c r="B2524" t="s">
        <v>99</v>
      </c>
      <c r="C2524" s="3" t="s">
        <v>100</v>
      </c>
      <c r="D2524" s="1" t="s">
        <v>126</v>
      </c>
      <c r="E2524">
        <v>1100</v>
      </c>
      <c r="F2524">
        <v>2</v>
      </c>
      <c r="G2524" s="32">
        <v>0</v>
      </c>
      <c r="H2524">
        <v>0</v>
      </c>
      <c r="J2524" t="s">
        <v>47</v>
      </c>
      <c r="L2524" t="s">
        <v>28</v>
      </c>
    </row>
    <row r="2525" spans="2:12" ht="15.75" customHeight="1">
      <c r="D2525" s="34" t="s">
        <v>126</v>
      </c>
      <c r="E2525">
        <v>1110</v>
      </c>
      <c r="F2525">
        <v>1</v>
      </c>
      <c r="H2525">
        <v>1</v>
      </c>
      <c r="J2525" t="s">
        <v>19</v>
      </c>
      <c r="K2525" t="s">
        <v>20</v>
      </c>
      <c r="L2525" t="s">
        <v>26</v>
      </c>
    </row>
    <row r="2526" spans="2:12" ht="15.75" customHeight="1">
      <c r="D2526" s="34" t="s">
        <v>126</v>
      </c>
      <c r="E2526">
        <v>1110</v>
      </c>
      <c r="F2526">
        <v>2</v>
      </c>
      <c r="H2526">
        <v>2</v>
      </c>
      <c r="J2526" t="s">
        <v>53</v>
      </c>
      <c r="K2526" t="s">
        <v>34</v>
      </c>
      <c r="L2526" t="s">
        <v>28</v>
      </c>
    </row>
    <row r="2527" spans="2:12" ht="15.75" customHeight="1">
      <c r="B2527" t="s">
        <v>99</v>
      </c>
      <c r="C2527" s="3" t="s">
        <v>100</v>
      </c>
      <c r="D2527" s="1" t="s">
        <v>126</v>
      </c>
      <c r="E2527">
        <v>1120</v>
      </c>
      <c r="F2527">
        <v>1</v>
      </c>
      <c r="G2527" s="32">
        <v>1</v>
      </c>
      <c r="H2527">
        <v>1</v>
      </c>
      <c r="J2527" t="s">
        <v>19</v>
      </c>
      <c r="K2527" t="s">
        <v>20</v>
      </c>
      <c r="L2527" t="s">
        <v>26</v>
      </c>
    </row>
    <row r="2528" spans="2:12" ht="15.75" customHeight="1">
      <c r="B2528" t="s">
        <v>99</v>
      </c>
      <c r="C2528" s="3" t="s">
        <v>100</v>
      </c>
      <c r="D2528" s="1" t="s">
        <v>126</v>
      </c>
      <c r="E2528">
        <v>1120</v>
      </c>
      <c r="F2528">
        <v>2</v>
      </c>
      <c r="G2528" s="32">
        <v>0</v>
      </c>
      <c r="H2528">
        <v>0</v>
      </c>
      <c r="J2528" t="s">
        <v>47</v>
      </c>
      <c r="L2528" t="s">
        <v>28</v>
      </c>
    </row>
    <row r="2529" spans="2:12" ht="15.75" customHeight="1">
      <c r="D2529" s="34" t="s">
        <v>126</v>
      </c>
      <c r="E2529">
        <v>1130</v>
      </c>
      <c r="F2529">
        <v>1</v>
      </c>
      <c r="H2529">
        <v>1</v>
      </c>
      <c r="J2529" t="s">
        <v>19</v>
      </c>
      <c r="K2529" t="s">
        <v>20</v>
      </c>
      <c r="L2529" t="s">
        <v>26</v>
      </c>
    </row>
    <row r="2530" spans="2:12" ht="15.75" customHeight="1">
      <c r="D2530" s="34" t="s">
        <v>126</v>
      </c>
      <c r="E2530">
        <v>1130</v>
      </c>
      <c r="F2530">
        <v>2</v>
      </c>
      <c r="H2530">
        <v>2</v>
      </c>
      <c r="J2530" t="s">
        <v>53</v>
      </c>
      <c r="K2530" t="s">
        <v>34</v>
      </c>
      <c r="L2530" t="s">
        <v>28</v>
      </c>
    </row>
    <row r="2531" spans="2:12" ht="15.75" customHeight="1">
      <c r="B2531" t="s">
        <v>99</v>
      </c>
      <c r="C2531" s="3" t="s">
        <v>100</v>
      </c>
      <c r="D2531" s="1" t="s">
        <v>126</v>
      </c>
      <c r="E2531">
        <v>1140</v>
      </c>
      <c r="F2531">
        <v>1</v>
      </c>
      <c r="G2531" s="32">
        <v>1</v>
      </c>
      <c r="H2531">
        <v>1</v>
      </c>
      <c r="J2531" t="s">
        <v>19</v>
      </c>
      <c r="K2531" t="s">
        <v>20</v>
      </c>
      <c r="L2531" t="s">
        <v>26</v>
      </c>
    </row>
    <row r="2532" spans="2:12" ht="15.75" customHeight="1">
      <c r="B2532" t="s">
        <v>99</v>
      </c>
      <c r="C2532" s="3" t="s">
        <v>100</v>
      </c>
      <c r="D2532" s="1" t="s">
        <v>126</v>
      </c>
      <c r="E2532">
        <v>1140</v>
      </c>
      <c r="F2532">
        <v>2</v>
      </c>
      <c r="G2532" s="32">
        <v>2</v>
      </c>
      <c r="H2532">
        <v>1</v>
      </c>
      <c r="J2532" t="s">
        <v>42</v>
      </c>
      <c r="K2532" t="s">
        <v>20</v>
      </c>
      <c r="L2532" t="s">
        <v>26</v>
      </c>
    </row>
    <row r="2533" spans="2:12" ht="15.75" customHeight="1">
      <c r="B2533" t="s">
        <v>99</v>
      </c>
      <c r="C2533" s="3" t="s">
        <v>100</v>
      </c>
      <c r="D2533" s="1" t="s">
        <v>126</v>
      </c>
      <c r="E2533">
        <v>1150</v>
      </c>
      <c r="F2533">
        <v>1</v>
      </c>
      <c r="G2533" s="32">
        <v>1</v>
      </c>
      <c r="H2533">
        <v>1</v>
      </c>
      <c r="J2533" t="s">
        <v>19</v>
      </c>
      <c r="K2533" t="s">
        <v>20</v>
      </c>
      <c r="L2533" t="s">
        <v>26</v>
      </c>
    </row>
    <row r="2534" spans="2:12" ht="15.75" customHeight="1">
      <c r="B2534" t="s">
        <v>99</v>
      </c>
      <c r="C2534" s="3" t="s">
        <v>100</v>
      </c>
      <c r="D2534" s="1" t="s">
        <v>126</v>
      </c>
      <c r="E2534">
        <v>1150</v>
      </c>
      <c r="F2534">
        <v>2</v>
      </c>
      <c r="G2534" s="32">
        <v>0</v>
      </c>
      <c r="H2534">
        <v>0</v>
      </c>
      <c r="J2534" t="s">
        <v>101</v>
      </c>
      <c r="L2534" t="s">
        <v>28</v>
      </c>
    </row>
    <row r="2535" spans="2:12" ht="15.75" customHeight="1">
      <c r="B2535" t="s">
        <v>99</v>
      </c>
      <c r="C2535" s="3" t="s">
        <v>100</v>
      </c>
      <c r="D2535" s="1" t="s">
        <v>126</v>
      </c>
      <c r="E2535">
        <v>1160</v>
      </c>
      <c r="F2535">
        <v>1</v>
      </c>
      <c r="G2535" s="32">
        <v>2</v>
      </c>
      <c r="H2535">
        <v>1</v>
      </c>
      <c r="J2535" t="s">
        <v>19</v>
      </c>
      <c r="K2535" t="s">
        <v>20</v>
      </c>
      <c r="L2535" t="s">
        <v>26</v>
      </c>
    </row>
    <row r="2536" spans="2:12" ht="15.75" customHeight="1">
      <c r="B2536" t="s">
        <v>99</v>
      </c>
      <c r="C2536" s="3" t="s">
        <v>100</v>
      </c>
      <c r="D2536" s="1" t="s">
        <v>126</v>
      </c>
      <c r="E2536">
        <v>1160</v>
      </c>
      <c r="F2536">
        <v>2</v>
      </c>
      <c r="G2536" s="32">
        <v>1</v>
      </c>
      <c r="H2536">
        <v>1</v>
      </c>
      <c r="J2536" t="s">
        <v>42</v>
      </c>
      <c r="K2536" t="s">
        <v>20</v>
      </c>
      <c r="L2536" t="s">
        <v>26</v>
      </c>
    </row>
    <row r="2537" spans="2:12" ht="15.75" customHeight="1">
      <c r="B2537" t="s">
        <v>99</v>
      </c>
      <c r="C2537" s="3" t="s">
        <v>100</v>
      </c>
      <c r="D2537" s="1" t="s">
        <v>126</v>
      </c>
      <c r="E2537">
        <v>1170</v>
      </c>
      <c r="F2537">
        <v>1</v>
      </c>
      <c r="G2537" s="32">
        <v>1</v>
      </c>
      <c r="H2537">
        <v>1</v>
      </c>
      <c r="J2537" t="s">
        <v>19</v>
      </c>
      <c r="K2537" t="s">
        <v>20</v>
      </c>
      <c r="L2537" t="s">
        <v>26</v>
      </c>
    </row>
    <row r="2538" spans="2:12" ht="15.75" customHeight="1">
      <c r="B2538" t="s">
        <v>99</v>
      </c>
      <c r="C2538" s="3" t="s">
        <v>100</v>
      </c>
      <c r="D2538" s="1" t="s">
        <v>126</v>
      </c>
      <c r="E2538">
        <v>1170</v>
      </c>
      <c r="F2538">
        <v>2</v>
      </c>
      <c r="G2538" s="32">
        <v>2</v>
      </c>
      <c r="H2538">
        <v>2</v>
      </c>
      <c r="J2538" t="s">
        <v>52</v>
      </c>
      <c r="K2538" t="s">
        <v>33</v>
      </c>
      <c r="L2538" t="s">
        <v>28</v>
      </c>
    </row>
    <row r="2539" spans="2:12" ht="15.75" customHeight="1">
      <c r="B2539" t="s">
        <v>99</v>
      </c>
      <c r="C2539" s="3" t="s">
        <v>100</v>
      </c>
      <c r="D2539" s="1" t="s">
        <v>126</v>
      </c>
      <c r="E2539">
        <v>1180</v>
      </c>
      <c r="F2539">
        <v>1</v>
      </c>
      <c r="G2539" s="32">
        <v>1</v>
      </c>
      <c r="H2539">
        <v>1</v>
      </c>
      <c r="J2539" t="s">
        <v>19</v>
      </c>
      <c r="K2539" t="s">
        <v>20</v>
      </c>
      <c r="L2539" t="s">
        <v>26</v>
      </c>
    </row>
    <row r="2540" spans="2:12" ht="15.75" customHeight="1">
      <c r="B2540" t="s">
        <v>99</v>
      </c>
      <c r="C2540" s="3" t="s">
        <v>100</v>
      </c>
      <c r="D2540" s="1" t="s">
        <v>126</v>
      </c>
      <c r="E2540">
        <v>1180</v>
      </c>
      <c r="F2540">
        <v>2</v>
      </c>
      <c r="G2540" s="32">
        <v>2</v>
      </c>
      <c r="H2540">
        <v>2</v>
      </c>
      <c r="J2540" t="s">
        <v>52</v>
      </c>
      <c r="K2540" t="s">
        <v>33</v>
      </c>
      <c r="L2540" t="s">
        <v>28</v>
      </c>
    </row>
    <row r="2541" spans="2:12" ht="15.75" customHeight="1">
      <c r="B2541" t="s">
        <v>99</v>
      </c>
      <c r="C2541" s="3" t="s">
        <v>100</v>
      </c>
      <c r="D2541" s="1" t="s">
        <v>126</v>
      </c>
      <c r="E2541">
        <v>1190</v>
      </c>
      <c r="F2541">
        <v>1</v>
      </c>
      <c r="G2541" s="32">
        <v>1</v>
      </c>
      <c r="H2541">
        <v>1</v>
      </c>
      <c r="J2541" t="s">
        <v>19</v>
      </c>
      <c r="K2541" t="s">
        <v>20</v>
      </c>
      <c r="L2541" t="s">
        <v>26</v>
      </c>
    </row>
    <row r="2542" spans="2:12" ht="15.75" customHeight="1">
      <c r="B2542" t="s">
        <v>99</v>
      </c>
      <c r="C2542" s="3" t="s">
        <v>100</v>
      </c>
      <c r="D2542" s="1" t="s">
        <v>126</v>
      </c>
      <c r="E2542">
        <v>1190</v>
      </c>
      <c r="F2542">
        <v>2</v>
      </c>
      <c r="G2542" s="32">
        <v>0</v>
      </c>
      <c r="H2542">
        <v>0</v>
      </c>
      <c r="J2542" t="s">
        <v>47</v>
      </c>
      <c r="L2542" t="s">
        <v>28</v>
      </c>
    </row>
    <row r="2543" spans="2:12" ht="15.75" customHeight="1">
      <c r="D2543" s="34" t="s">
        <v>126</v>
      </c>
      <c r="E2543">
        <v>1200</v>
      </c>
      <c r="F2543">
        <v>1</v>
      </c>
      <c r="H2543">
        <v>1</v>
      </c>
      <c r="J2543" t="s">
        <v>19</v>
      </c>
      <c r="K2543" t="s">
        <v>20</v>
      </c>
      <c r="L2543" t="s">
        <v>26</v>
      </c>
    </row>
    <row r="2544" spans="2:12" ht="15.75" customHeight="1">
      <c r="D2544" s="34" t="s">
        <v>126</v>
      </c>
      <c r="E2544">
        <v>1200</v>
      </c>
      <c r="F2544">
        <v>2</v>
      </c>
      <c r="H2544">
        <v>1</v>
      </c>
      <c r="J2544" t="s">
        <v>42</v>
      </c>
      <c r="K2544" t="s">
        <v>20</v>
      </c>
      <c r="L2544" t="s">
        <v>26</v>
      </c>
    </row>
    <row r="2545" spans="2:12" ht="15.75" customHeight="1">
      <c r="D2545" s="34" t="s">
        <v>126</v>
      </c>
      <c r="E2545">
        <v>1200</v>
      </c>
      <c r="F2545">
        <v>3</v>
      </c>
      <c r="H2545">
        <v>2</v>
      </c>
      <c r="J2545" t="s">
        <v>103</v>
      </c>
      <c r="K2545" t="s">
        <v>27</v>
      </c>
      <c r="L2545" t="s">
        <v>28</v>
      </c>
    </row>
    <row r="2546" spans="2:12" ht="15.75" customHeight="1">
      <c r="B2546" t="s">
        <v>99</v>
      </c>
      <c r="C2546" s="3" t="s">
        <v>100</v>
      </c>
      <c r="D2546" s="1" t="s">
        <v>126</v>
      </c>
      <c r="E2546">
        <v>1210</v>
      </c>
      <c r="F2546">
        <v>1</v>
      </c>
      <c r="G2546" s="32">
        <v>1</v>
      </c>
      <c r="H2546">
        <v>1</v>
      </c>
      <c r="J2546" t="s">
        <v>19</v>
      </c>
      <c r="K2546" t="s">
        <v>20</v>
      </c>
      <c r="L2546" t="s">
        <v>26</v>
      </c>
    </row>
    <row r="2547" spans="2:12" ht="15.75" customHeight="1">
      <c r="B2547" t="s">
        <v>99</v>
      </c>
      <c r="C2547" s="3" t="s">
        <v>100</v>
      </c>
      <c r="D2547" s="1" t="s">
        <v>126</v>
      </c>
      <c r="E2547">
        <v>1210</v>
      </c>
      <c r="F2547">
        <v>2</v>
      </c>
      <c r="G2547" s="32">
        <v>1</v>
      </c>
      <c r="H2547">
        <v>1</v>
      </c>
      <c r="J2547" t="s">
        <v>42</v>
      </c>
      <c r="K2547" t="s">
        <v>20</v>
      </c>
      <c r="L2547" t="s">
        <v>26</v>
      </c>
    </row>
    <row r="2548" spans="2:12" ht="15.75" customHeight="1">
      <c r="B2548" t="s">
        <v>99</v>
      </c>
      <c r="C2548" s="3" t="s">
        <v>100</v>
      </c>
      <c r="D2548" s="1" t="s">
        <v>126</v>
      </c>
      <c r="E2548">
        <v>1210</v>
      </c>
      <c r="F2548">
        <v>3</v>
      </c>
      <c r="G2548" s="32">
        <v>2</v>
      </c>
      <c r="H2548">
        <v>2</v>
      </c>
      <c r="J2548" t="s">
        <v>101</v>
      </c>
      <c r="K2548" t="s">
        <v>36</v>
      </c>
      <c r="L2548" t="s">
        <v>28</v>
      </c>
    </row>
    <row r="2549" spans="2:12" ht="15.75" customHeight="1">
      <c r="B2549" t="s">
        <v>99</v>
      </c>
      <c r="C2549" s="3" t="s">
        <v>100</v>
      </c>
      <c r="D2549" s="1" t="s">
        <v>126</v>
      </c>
      <c r="E2549">
        <v>1220</v>
      </c>
      <c r="F2549">
        <v>1</v>
      </c>
      <c r="G2549" s="32">
        <v>1</v>
      </c>
      <c r="H2549">
        <v>1</v>
      </c>
      <c r="J2549" t="s">
        <v>19</v>
      </c>
      <c r="K2549" t="s">
        <v>20</v>
      </c>
      <c r="L2549" t="s">
        <v>26</v>
      </c>
    </row>
    <row r="2550" spans="2:12" ht="15.75" customHeight="1">
      <c r="B2550" t="s">
        <v>99</v>
      </c>
      <c r="C2550" s="3" t="s">
        <v>100</v>
      </c>
      <c r="D2550" s="1" t="s">
        <v>126</v>
      </c>
      <c r="E2550">
        <v>1220</v>
      </c>
      <c r="F2550">
        <v>2</v>
      </c>
      <c r="G2550" s="32">
        <v>2</v>
      </c>
      <c r="H2550">
        <v>2</v>
      </c>
      <c r="J2550" t="s">
        <v>101</v>
      </c>
      <c r="K2550" t="s">
        <v>36</v>
      </c>
      <c r="L2550" t="s">
        <v>28</v>
      </c>
    </row>
    <row r="2551" spans="2:12" ht="15.75" customHeight="1">
      <c r="B2551" t="s">
        <v>99</v>
      </c>
      <c r="C2551" s="3" t="s">
        <v>100</v>
      </c>
      <c r="D2551" s="1" t="s">
        <v>126</v>
      </c>
      <c r="E2551">
        <v>1230</v>
      </c>
      <c r="F2551">
        <v>1</v>
      </c>
      <c r="G2551" s="32">
        <v>1</v>
      </c>
      <c r="H2551">
        <v>1</v>
      </c>
      <c r="J2551" t="s">
        <v>19</v>
      </c>
      <c r="K2551" t="s">
        <v>20</v>
      </c>
      <c r="L2551" t="s">
        <v>26</v>
      </c>
    </row>
    <row r="2552" spans="2:12" ht="15.75" customHeight="1">
      <c r="D2552" s="34" t="s">
        <v>126</v>
      </c>
      <c r="E2552">
        <v>1240</v>
      </c>
      <c r="F2552">
        <v>1</v>
      </c>
      <c r="H2552">
        <v>1</v>
      </c>
      <c r="J2552" t="s">
        <v>53</v>
      </c>
      <c r="K2552" t="s">
        <v>31</v>
      </c>
      <c r="L2552" t="s">
        <v>28</v>
      </c>
    </row>
    <row r="2553" spans="2:12" ht="15.75" customHeight="1">
      <c r="D2553" s="34" t="s">
        <v>126</v>
      </c>
      <c r="E2553">
        <v>1250</v>
      </c>
      <c r="F2553">
        <v>1</v>
      </c>
      <c r="H2553">
        <v>1</v>
      </c>
      <c r="J2553" t="s">
        <v>53</v>
      </c>
      <c r="K2553" t="s">
        <v>34</v>
      </c>
      <c r="L2553" t="s">
        <v>28</v>
      </c>
    </row>
    <row r="2554" spans="2:12" ht="15.75" customHeight="1">
      <c r="D2554" s="34" t="s">
        <v>126</v>
      </c>
      <c r="E2554">
        <v>1260</v>
      </c>
      <c r="F2554">
        <v>1</v>
      </c>
      <c r="H2554">
        <v>0</v>
      </c>
      <c r="J2554" t="s">
        <v>57</v>
      </c>
      <c r="L2554" t="s">
        <v>28</v>
      </c>
    </row>
    <row r="2555" spans="2:12" ht="15.75" customHeight="1">
      <c r="D2555" s="34" t="s">
        <v>126</v>
      </c>
      <c r="E2555">
        <v>1270</v>
      </c>
      <c r="F2555">
        <v>1</v>
      </c>
      <c r="H2555">
        <v>1</v>
      </c>
      <c r="J2555" t="s">
        <v>53</v>
      </c>
      <c r="K2555" t="s">
        <v>34</v>
      </c>
      <c r="L2555" t="s">
        <v>28</v>
      </c>
    </row>
    <row r="2556" spans="2:12" ht="15.75" customHeight="1">
      <c r="D2556" s="34" t="s">
        <v>126</v>
      </c>
      <c r="E2556">
        <v>1280</v>
      </c>
      <c r="F2556">
        <v>1</v>
      </c>
      <c r="H2556">
        <v>1</v>
      </c>
      <c r="J2556" t="s">
        <v>53</v>
      </c>
      <c r="K2556" t="s">
        <v>31</v>
      </c>
      <c r="L2556" t="s">
        <v>28</v>
      </c>
    </row>
    <row r="2557" spans="2:12" ht="15.75" customHeight="1">
      <c r="B2557" t="s">
        <v>99</v>
      </c>
      <c r="C2557" s="3" t="s">
        <v>100</v>
      </c>
      <c r="D2557" s="1" t="s">
        <v>126</v>
      </c>
      <c r="E2557">
        <v>1290</v>
      </c>
      <c r="F2557">
        <v>1</v>
      </c>
      <c r="G2557" s="32">
        <v>1</v>
      </c>
      <c r="H2557">
        <v>1</v>
      </c>
      <c r="J2557" t="s">
        <v>19</v>
      </c>
      <c r="K2557" t="s">
        <v>20</v>
      </c>
      <c r="L2557" t="s">
        <v>26</v>
      </c>
    </row>
    <row r="2558" spans="2:12" ht="15.75" customHeight="1">
      <c r="B2558" t="s">
        <v>99</v>
      </c>
      <c r="C2558" s="3" t="s">
        <v>100</v>
      </c>
      <c r="D2558" s="1" t="s">
        <v>126</v>
      </c>
      <c r="E2558">
        <v>1290</v>
      </c>
      <c r="F2558">
        <v>2</v>
      </c>
      <c r="G2558" s="32">
        <v>2</v>
      </c>
      <c r="H2558">
        <v>2</v>
      </c>
      <c r="J2558" t="s">
        <v>52</v>
      </c>
      <c r="K2558" t="s">
        <v>33</v>
      </c>
      <c r="L2558" t="s">
        <v>28</v>
      </c>
    </row>
    <row r="2559" spans="2:12" ht="15.75" customHeight="1">
      <c r="D2559" s="34" t="s">
        <v>126</v>
      </c>
      <c r="E2559">
        <v>1300</v>
      </c>
      <c r="F2559">
        <v>1</v>
      </c>
      <c r="H2559">
        <v>0</v>
      </c>
      <c r="J2559" t="s">
        <v>57</v>
      </c>
      <c r="L2559" t="s">
        <v>28</v>
      </c>
    </row>
    <row r="2560" spans="2:12" ht="15.75" customHeight="1">
      <c r="D2560" s="34" t="s">
        <v>126</v>
      </c>
      <c r="E2560">
        <v>1310</v>
      </c>
      <c r="F2560">
        <v>1</v>
      </c>
      <c r="H2560">
        <v>1</v>
      </c>
      <c r="J2560" t="s">
        <v>53</v>
      </c>
      <c r="K2560" t="s">
        <v>31</v>
      </c>
      <c r="L2560" t="s">
        <v>28</v>
      </c>
    </row>
    <row r="2561" spans="2:12" ht="15.75" customHeight="1">
      <c r="B2561" t="s">
        <v>99</v>
      </c>
      <c r="C2561" s="3" t="s">
        <v>100</v>
      </c>
      <c r="D2561" s="1" t="s">
        <v>126</v>
      </c>
      <c r="E2561">
        <v>1320</v>
      </c>
      <c r="F2561">
        <v>1</v>
      </c>
      <c r="G2561" s="32">
        <v>1</v>
      </c>
      <c r="H2561">
        <v>1</v>
      </c>
      <c r="J2561" t="s">
        <v>19</v>
      </c>
      <c r="K2561" t="s">
        <v>20</v>
      </c>
      <c r="L2561" t="s">
        <v>26</v>
      </c>
    </row>
    <row r="2562" spans="2:12" ht="15.75" customHeight="1">
      <c r="B2562" t="s">
        <v>99</v>
      </c>
      <c r="C2562" s="3" t="s">
        <v>100</v>
      </c>
      <c r="D2562" s="1" t="s">
        <v>126</v>
      </c>
      <c r="E2562">
        <v>1320</v>
      </c>
      <c r="F2562">
        <v>2</v>
      </c>
      <c r="G2562" s="32">
        <v>0</v>
      </c>
      <c r="H2562">
        <v>0</v>
      </c>
      <c r="J2562" t="s">
        <v>47</v>
      </c>
      <c r="L2562" t="s">
        <v>28</v>
      </c>
    </row>
    <row r="2563" spans="2:12" ht="15.75" customHeight="1">
      <c r="B2563" t="s">
        <v>99</v>
      </c>
      <c r="C2563" s="3" t="s">
        <v>100</v>
      </c>
      <c r="D2563" s="1" t="s">
        <v>126</v>
      </c>
      <c r="E2563">
        <v>1330</v>
      </c>
      <c r="F2563">
        <v>1</v>
      </c>
      <c r="G2563" s="32">
        <v>1</v>
      </c>
      <c r="H2563">
        <v>1</v>
      </c>
      <c r="J2563" t="s">
        <v>19</v>
      </c>
      <c r="K2563" t="s">
        <v>20</v>
      </c>
      <c r="L2563" t="s">
        <v>26</v>
      </c>
    </row>
    <row r="2564" spans="2:12" ht="15.75" customHeight="1">
      <c r="B2564" t="s">
        <v>99</v>
      </c>
      <c r="C2564" s="3" t="s">
        <v>100</v>
      </c>
      <c r="D2564" s="1" t="s">
        <v>126</v>
      </c>
      <c r="E2564">
        <v>1330</v>
      </c>
      <c r="F2564">
        <v>2</v>
      </c>
      <c r="G2564" s="32">
        <v>1</v>
      </c>
      <c r="H2564">
        <v>1</v>
      </c>
      <c r="J2564" t="s">
        <v>42</v>
      </c>
      <c r="K2564" t="s">
        <v>20</v>
      </c>
      <c r="L2564" t="s">
        <v>26</v>
      </c>
    </row>
    <row r="2565" spans="2:12" ht="15.75" customHeight="1">
      <c r="B2565" t="s">
        <v>99</v>
      </c>
      <c r="C2565" s="3" t="s">
        <v>100</v>
      </c>
      <c r="D2565" s="1" t="s">
        <v>126</v>
      </c>
      <c r="E2565">
        <v>1330</v>
      </c>
      <c r="F2565">
        <v>3</v>
      </c>
      <c r="G2565" s="32">
        <v>0</v>
      </c>
      <c r="H2565">
        <v>0</v>
      </c>
      <c r="J2565" t="s">
        <v>47</v>
      </c>
      <c r="L2565" t="s">
        <v>28</v>
      </c>
    </row>
    <row r="2566" spans="2:12" ht="15.75" customHeight="1">
      <c r="D2566" s="34" t="s">
        <v>126</v>
      </c>
      <c r="E2566">
        <v>1340</v>
      </c>
      <c r="F2566">
        <v>1</v>
      </c>
      <c r="H2566">
        <v>1</v>
      </c>
      <c r="J2566" t="s">
        <v>19</v>
      </c>
      <c r="K2566" t="s">
        <v>20</v>
      </c>
      <c r="L2566" t="s">
        <v>26</v>
      </c>
    </row>
    <row r="2567" spans="2:12" ht="15.75" customHeight="1">
      <c r="D2567" s="34" t="s">
        <v>126</v>
      </c>
      <c r="E2567">
        <v>1340</v>
      </c>
      <c r="F2567">
        <v>2</v>
      </c>
      <c r="H2567">
        <v>1</v>
      </c>
      <c r="J2567" t="s">
        <v>53</v>
      </c>
      <c r="K2567" t="s">
        <v>34</v>
      </c>
      <c r="L2567" t="s">
        <v>28</v>
      </c>
    </row>
    <row r="2568" spans="2:12" ht="15.75" customHeight="1">
      <c r="D2568" s="34" t="s">
        <v>126</v>
      </c>
      <c r="E2568">
        <v>1350</v>
      </c>
      <c r="F2568">
        <v>1</v>
      </c>
      <c r="H2568">
        <v>1</v>
      </c>
      <c r="J2568" t="s">
        <v>19</v>
      </c>
      <c r="K2568" t="s">
        <v>20</v>
      </c>
      <c r="L2568" t="s">
        <v>26</v>
      </c>
    </row>
    <row r="2569" spans="2:12" ht="15.75" customHeight="1">
      <c r="D2569" s="34" t="s">
        <v>126</v>
      </c>
      <c r="E2569">
        <v>1350</v>
      </c>
      <c r="F2569">
        <v>2</v>
      </c>
      <c r="H2569">
        <v>1</v>
      </c>
      <c r="J2569" t="s">
        <v>53</v>
      </c>
      <c r="K2569" t="s">
        <v>31</v>
      </c>
      <c r="L2569" t="s">
        <v>28</v>
      </c>
    </row>
    <row r="2570" spans="2:12" ht="15.75" customHeight="1">
      <c r="D2570" s="34" t="s">
        <v>126</v>
      </c>
      <c r="E2570">
        <v>1360</v>
      </c>
      <c r="F2570">
        <v>1</v>
      </c>
      <c r="H2570">
        <v>1</v>
      </c>
      <c r="J2570" t="s">
        <v>19</v>
      </c>
      <c r="K2570" t="s">
        <v>20</v>
      </c>
      <c r="L2570" t="s">
        <v>26</v>
      </c>
    </row>
    <row r="2571" spans="2:12" ht="15.75" customHeight="1">
      <c r="D2571" s="34" t="s">
        <v>126</v>
      </c>
      <c r="E2571">
        <v>1360</v>
      </c>
      <c r="F2571">
        <v>2</v>
      </c>
      <c r="H2571">
        <v>1</v>
      </c>
      <c r="J2571" t="s">
        <v>53</v>
      </c>
      <c r="K2571" t="s">
        <v>34</v>
      </c>
      <c r="L2571" t="s">
        <v>28</v>
      </c>
    </row>
    <row r="2572" spans="2:12" ht="15.75" customHeight="1">
      <c r="D2572" s="34" t="s">
        <v>126</v>
      </c>
      <c r="E2572">
        <v>1370</v>
      </c>
      <c r="F2572">
        <v>1</v>
      </c>
      <c r="H2572">
        <v>1</v>
      </c>
      <c r="J2572" t="s">
        <v>19</v>
      </c>
      <c r="K2572" t="s">
        <v>20</v>
      </c>
      <c r="L2572" t="s">
        <v>26</v>
      </c>
    </row>
    <row r="2573" spans="2:12" ht="15.75" customHeight="1">
      <c r="D2573" s="34" t="s">
        <v>126</v>
      </c>
      <c r="E2573">
        <v>1370</v>
      </c>
      <c r="F2573">
        <v>2</v>
      </c>
      <c r="H2573">
        <v>0</v>
      </c>
      <c r="J2573" t="s">
        <v>53</v>
      </c>
      <c r="L2573" t="s">
        <v>28</v>
      </c>
    </row>
    <row r="2574" spans="2:12" ht="15.75" customHeight="1">
      <c r="D2574" s="34" t="s">
        <v>126</v>
      </c>
      <c r="E2574">
        <v>1380</v>
      </c>
      <c r="F2574">
        <v>1</v>
      </c>
      <c r="H2574">
        <v>1</v>
      </c>
      <c r="I2574" t="s">
        <v>85</v>
      </c>
      <c r="J2574" t="s">
        <v>19</v>
      </c>
      <c r="K2574" t="s">
        <v>20</v>
      </c>
      <c r="L2574" t="s">
        <v>26</v>
      </c>
    </row>
    <row r="2575" spans="2:12" ht="15.75" customHeight="1">
      <c r="D2575" s="34" t="s">
        <v>126</v>
      </c>
      <c r="E2575">
        <v>1380</v>
      </c>
      <c r="F2575">
        <v>2</v>
      </c>
      <c r="I2575" t="s">
        <v>85</v>
      </c>
    </row>
    <row r="2576" spans="2:12" ht="15.75" customHeight="1">
      <c r="B2576" t="s">
        <v>99</v>
      </c>
      <c r="C2576" s="3" t="s">
        <v>100</v>
      </c>
      <c r="D2576" s="1" t="s">
        <v>126</v>
      </c>
      <c r="E2576">
        <v>1390</v>
      </c>
      <c r="F2576">
        <v>1</v>
      </c>
      <c r="G2576" s="32">
        <v>3</v>
      </c>
      <c r="H2576">
        <v>0</v>
      </c>
      <c r="J2576" t="s">
        <v>46</v>
      </c>
    </row>
    <row r="2577" spans="2:12" ht="15.75" customHeight="1">
      <c r="B2577" t="s">
        <v>99</v>
      </c>
      <c r="C2577" s="3" t="s">
        <v>100</v>
      </c>
      <c r="D2577" s="1" t="s">
        <v>126</v>
      </c>
      <c r="E2577">
        <v>1390</v>
      </c>
      <c r="F2577">
        <v>2</v>
      </c>
      <c r="G2577" s="32">
        <v>2</v>
      </c>
      <c r="H2577">
        <v>2</v>
      </c>
      <c r="J2577" t="s">
        <v>47</v>
      </c>
      <c r="K2577" t="s">
        <v>33</v>
      </c>
      <c r="L2577" t="s">
        <v>28</v>
      </c>
    </row>
    <row r="2578" spans="2:12" ht="15.75" customHeight="1">
      <c r="D2578" s="34" t="s">
        <v>126</v>
      </c>
      <c r="E2578">
        <v>1400</v>
      </c>
      <c r="F2578">
        <v>1</v>
      </c>
      <c r="H2578">
        <v>1</v>
      </c>
      <c r="J2578" t="s">
        <v>19</v>
      </c>
      <c r="K2578" t="s">
        <v>20</v>
      </c>
      <c r="L2578" t="s">
        <v>26</v>
      </c>
    </row>
    <row r="2579" spans="2:12" ht="15.75" customHeight="1">
      <c r="D2579" s="34" t="s">
        <v>126</v>
      </c>
      <c r="E2579">
        <v>1400</v>
      </c>
      <c r="F2579">
        <v>2</v>
      </c>
      <c r="H2579">
        <v>1</v>
      </c>
      <c r="J2579" t="s">
        <v>53</v>
      </c>
      <c r="K2579" t="s">
        <v>31</v>
      </c>
      <c r="L2579" t="s">
        <v>28</v>
      </c>
    </row>
    <row r="2580" spans="2:12" ht="15.75" customHeight="1">
      <c r="D2580" s="34" t="s">
        <v>126</v>
      </c>
      <c r="E2580">
        <v>1410</v>
      </c>
      <c r="F2580">
        <v>1</v>
      </c>
      <c r="H2580">
        <v>1</v>
      </c>
      <c r="J2580" t="s">
        <v>19</v>
      </c>
      <c r="K2580" t="s">
        <v>20</v>
      </c>
      <c r="L2580" t="s">
        <v>26</v>
      </c>
    </row>
    <row r="2581" spans="2:12" ht="15.75" customHeight="1">
      <c r="B2581" t="s">
        <v>99</v>
      </c>
      <c r="C2581" s="3" t="s">
        <v>100</v>
      </c>
      <c r="D2581" s="1" t="s">
        <v>126</v>
      </c>
      <c r="E2581">
        <v>1420</v>
      </c>
      <c r="F2581">
        <v>1</v>
      </c>
      <c r="G2581" s="32">
        <v>2</v>
      </c>
      <c r="H2581">
        <v>1</v>
      </c>
      <c r="J2581" t="s">
        <v>128</v>
      </c>
      <c r="K2581" t="s">
        <v>129</v>
      </c>
      <c r="L2581" t="s">
        <v>26</v>
      </c>
    </row>
    <row r="2582" spans="2:12" ht="15.75" customHeight="1">
      <c r="B2582" t="s">
        <v>99</v>
      </c>
      <c r="C2582" s="3" t="s">
        <v>100</v>
      </c>
      <c r="D2582" s="1" t="s">
        <v>126</v>
      </c>
      <c r="E2582">
        <v>1420</v>
      </c>
      <c r="F2582">
        <v>2</v>
      </c>
      <c r="G2582" s="32">
        <v>2</v>
      </c>
      <c r="H2582">
        <v>2</v>
      </c>
      <c r="J2582" t="s">
        <v>52</v>
      </c>
      <c r="K2582" t="s">
        <v>33</v>
      </c>
      <c r="L2582" t="s">
        <v>28</v>
      </c>
    </row>
    <row r="2583" spans="2:12" ht="15.75" customHeight="1">
      <c r="B2583" t="s">
        <v>99</v>
      </c>
      <c r="C2583" s="3" t="s">
        <v>100</v>
      </c>
      <c r="D2583" s="1" t="s">
        <v>126</v>
      </c>
      <c r="E2583">
        <v>1420</v>
      </c>
      <c r="F2583">
        <v>3</v>
      </c>
      <c r="G2583" s="32">
        <v>1</v>
      </c>
      <c r="H2583">
        <v>2</v>
      </c>
      <c r="J2583" t="s">
        <v>128</v>
      </c>
      <c r="K2583" t="s">
        <v>129</v>
      </c>
      <c r="L2583" t="s">
        <v>26</v>
      </c>
    </row>
    <row r="2584" spans="2:12" ht="15.75" customHeight="1">
      <c r="D2584" s="34" t="s">
        <v>126</v>
      </c>
      <c r="E2584">
        <v>1430</v>
      </c>
      <c r="I2584" t="s">
        <v>130</v>
      </c>
    </row>
    <row r="2585" spans="2:12" ht="15.75" customHeight="1">
      <c r="D2585" s="34" t="s">
        <v>126</v>
      </c>
      <c r="E2585">
        <v>1440</v>
      </c>
      <c r="I2585" t="s">
        <v>130</v>
      </c>
    </row>
    <row r="2586" spans="2:12" ht="15.75" customHeight="1">
      <c r="D2586" s="34" t="s">
        <v>126</v>
      </c>
      <c r="E2586">
        <v>1450</v>
      </c>
      <c r="F2586">
        <v>1</v>
      </c>
      <c r="H2586">
        <v>1</v>
      </c>
      <c r="J2586" t="s">
        <v>19</v>
      </c>
      <c r="K2586" t="s">
        <v>20</v>
      </c>
      <c r="L2586" t="s">
        <v>26</v>
      </c>
    </row>
    <row r="2587" spans="2:12" ht="15.75" customHeight="1">
      <c r="D2587" s="34" t="s">
        <v>126</v>
      </c>
      <c r="E2587">
        <v>1450</v>
      </c>
      <c r="F2587">
        <v>2</v>
      </c>
      <c r="H2587">
        <v>0</v>
      </c>
      <c r="J2587" t="s">
        <v>57</v>
      </c>
      <c r="L2587" t="s">
        <v>28</v>
      </c>
    </row>
    <row r="2588" spans="2:12" ht="15.75" customHeight="1">
      <c r="D2588" s="34" t="s">
        <v>126</v>
      </c>
      <c r="E2588">
        <v>1460</v>
      </c>
      <c r="F2588">
        <v>1</v>
      </c>
      <c r="H2588">
        <v>1</v>
      </c>
      <c r="J2588" t="s">
        <v>53</v>
      </c>
      <c r="K2588" t="s">
        <v>34</v>
      </c>
      <c r="L2588" t="s">
        <v>28</v>
      </c>
    </row>
    <row r="2589" spans="2:12" ht="15.75" customHeight="1">
      <c r="B2589" t="s">
        <v>99</v>
      </c>
      <c r="C2589" s="3" t="s">
        <v>100</v>
      </c>
      <c r="D2589" s="1" t="s">
        <v>126</v>
      </c>
      <c r="E2589">
        <v>1470</v>
      </c>
      <c r="F2589">
        <v>1</v>
      </c>
      <c r="G2589" s="32">
        <v>1</v>
      </c>
      <c r="H2589">
        <v>2</v>
      </c>
      <c r="J2589" t="s">
        <v>128</v>
      </c>
      <c r="K2589" t="s">
        <v>129</v>
      </c>
      <c r="L2589" t="s">
        <v>26</v>
      </c>
    </row>
    <row r="2590" spans="2:12" ht="15.75" customHeight="1">
      <c r="B2590" t="s">
        <v>99</v>
      </c>
      <c r="C2590" s="3" t="s">
        <v>100</v>
      </c>
      <c r="D2590" s="1" t="s">
        <v>126</v>
      </c>
      <c r="E2590">
        <v>1480</v>
      </c>
      <c r="F2590">
        <v>1</v>
      </c>
      <c r="G2590" s="32">
        <v>1</v>
      </c>
      <c r="H2590">
        <v>1</v>
      </c>
      <c r="J2590" t="s">
        <v>19</v>
      </c>
      <c r="K2590" t="s">
        <v>20</v>
      </c>
      <c r="L2590" t="s">
        <v>26</v>
      </c>
    </row>
    <row r="2591" spans="2:12" ht="15.75" customHeight="1">
      <c r="B2591" t="s">
        <v>99</v>
      </c>
      <c r="C2591" s="3" t="s">
        <v>100</v>
      </c>
      <c r="D2591" s="1" t="s">
        <v>126</v>
      </c>
      <c r="E2591">
        <v>1480</v>
      </c>
      <c r="F2591">
        <v>2</v>
      </c>
      <c r="G2591" s="32">
        <v>2</v>
      </c>
      <c r="H2591">
        <v>2</v>
      </c>
      <c r="J2591" t="s">
        <v>57</v>
      </c>
      <c r="K2591" t="s">
        <v>47</v>
      </c>
      <c r="L2591" t="s">
        <v>28</v>
      </c>
    </row>
    <row r="2592" spans="2:12" ht="15.75" customHeight="1">
      <c r="D2592" s="34" t="s">
        <v>126</v>
      </c>
      <c r="E2592">
        <v>1490</v>
      </c>
      <c r="F2592">
        <v>1</v>
      </c>
      <c r="H2592">
        <v>1</v>
      </c>
      <c r="J2592" t="s">
        <v>53</v>
      </c>
      <c r="K2592" t="s">
        <v>34</v>
      </c>
      <c r="L2592" t="s">
        <v>28</v>
      </c>
    </row>
    <row r="2593" spans="2:12" ht="15.75" customHeight="1">
      <c r="B2593" t="s">
        <v>99</v>
      </c>
      <c r="C2593" s="3" t="s">
        <v>100</v>
      </c>
      <c r="D2593" s="1" t="s">
        <v>126</v>
      </c>
      <c r="E2593">
        <v>1500</v>
      </c>
      <c r="F2593">
        <v>1</v>
      </c>
      <c r="G2593" s="32">
        <v>1</v>
      </c>
      <c r="H2593">
        <v>1</v>
      </c>
      <c r="J2593" t="s">
        <v>19</v>
      </c>
      <c r="K2593" t="s">
        <v>20</v>
      </c>
      <c r="L2593" t="s">
        <v>26</v>
      </c>
    </row>
    <row r="2594" spans="2:12" ht="15.75" customHeight="1">
      <c r="B2594" t="s">
        <v>99</v>
      </c>
      <c r="C2594" s="3" t="s">
        <v>100</v>
      </c>
      <c r="D2594" s="1" t="s">
        <v>126</v>
      </c>
      <c r="E2594">
        <v>1500</v>
      </c>
      <c r="F2594">
        <v>2</v>
      </c>
      <c r="G2594" s="32">
        <v>1</v>
      </c>
      <c r="H2594">
        <v>2</v>
      </c>
      <c r="J2594" t="s">
        <v>42</v>
      </c>
      <c r="K2594" t="s">
        <v>20</v>
      </c>
      <c r="L2594" t="s">
        <v>26</v>
      </c>
    </row>
    <row r="2595" spans="2:12" ht="15.75" customHeight="1">
      <c r="D2595" s="34" t="s">
        <v>126</v>
      </c>
      <c r="E2595">
        <v>1510</v>
      </c>
      <c r="F2595">
        <v>1</v>
      </c>
      <c r="H2595">
        <v>1</v>
      </c>
      <c r="J2595" t="s">
        <v>19</v>
      </c>
      <c r="K2595" t="s">
        <v>20</v>
      </c>
      <c r="L2595" t="s">
        <v>26</v>
      </c>
    </row>
    <row r="2596" spans="2:12" ht="15.75" customHeight="1">
      <c r="D2596" s="34" t="s">
        <v>126</v>
      </c>
      <c r="E2596">
        <v>1510</v>
      </c>
      <c r="F2596">
        <v>2</v>
      </c>
      <c r="H2596">
        <v>0</v>
      </c>
      <c r="J2596" t="s">
        <v>53</v>
      </c>
      <c r="L2596" t="s">
        <v>28</v>
      </c>
    </row>
    <row r="2597" spans="2:12" ht="15.75" customHeight="1">
      <c r="D2597" s="34" t="s">
        <v>126</v>
      </c>
      <c r="E2597">
        <v>1520</v>
      </c>
      <c r="F2597">
        <v>1</v>
      </c>
      <c r="H2597">
        <v>1</v>
      </c>
      <c r="J2597" t="s">
        <v>19</v>
      </c>
      <c r="K2597" t="s">
        <v>20</v>
      </c>
      <c r="L2597" t="s">
        <v>26</v>
      </c>
    </row>
    <row r="2598" spans="2:12" ht="15.75" customHeight="1">
      <c r="D2598" s="34" t="s">
        <v>126</v>
      </c>
      <c r="E2598">
        <v>1520</v>
      </c>
      <c r="F2598">
        <v>2</v>
      </c>
      <c r="H2598">
        <v>1</v>
      </c>
      <c r="J2598" t="s">
        <v>42</v>
      </c>
      <c r="K2598" t="s">
        <v>20</v>
      </c>
      <c r="L2598" t="s">
        <v>26</v>
      </c>
    </row>
    <row r="2599" spans="2:12" ht="15.75" customHeight="1">
      <c r="D2599" s="34" t="s">
        <v>126</v>
      </c>
      <c r="E2599">
        <v>1530</v>
      </c>
      <c r="F2599">
        <v>1</v>
      </c>
      <c r="H2599">
        <v>1</v>
      </c>
      <c r="J2599" t="s">
        <v>19</v>
      </c>
      <c r="K2599" t="s">
        <v>20</v>
      </c>
      <c r="L2599" t="s">
        <v>26</v>
      </c>
    </row>
    <row r="2600" spans="2:12" ht="15.75" customHeight="1">
      <c r="D2600" s="34" t="s">
        <v>126</v>
      </c>
      <c r="E2600">
        <v>1530</v>
      </c>
      <c r="F2600">
        <v>2</v>
      </c>
      <c r="H2600">
        <v>2</v>
      </c>
      <c r="J2600" t="s">
        <v>57</v>
      </c>
      <c r="K2600" t="s">
        <v>34</v>
      </c>
      <c r="L2600" t="s">
        <v>28</v>
      </c>
    </row>
    <row r="2601" spans="2:12" ht="15.75" customHeight="1">
      <c r="B2601" t="s">
        <v>99</v>
      </c>
      <c r="C2601" s="3" t="s">
        <v>100</v>
      </c>
      <c r="D2601" s="1" t="s">
        <v>126</v>
      </c>
      <c r="E2601">
        <v>1540</v>
      </c>
      <c r="F2601">
        <v>1</v>
      </c>
      <c r="G2601" s="32">
        <v>1</v>
      </c>
      <c r="H2601">
        <v>1</v>
      </c>
      <c r="J2601" t="s">
        <v>19</v>
      </c>
      <c r="K2601" t="s">
        <v>20</v>
      </c>
      <c r="L2601" t="s">
        <v>26</v>
      </c>
    </row>
    <row r="2602" spans="2:12" ht="15.75" customHeight="1">
      <c r="B2602" t="s">
        <v>99</v>
      </c>
      <c r="C2602" s="3" t="s">
        <v>100</v>
      </c>
      <c r="D2602" s="1" t="s">
        <v>126</v>
      </c>
      <c r="E2602">
        <v>1540</v>
      </c>
      <c r="F2602">
        <v>2</v>
      </c>
      <c r="G2602" s="32">
        <v>2</v>
      </c>
      <c r="H2602">
        <v>2</v>
      </c>
      <c r="J2602" t="s">
        <v>52</v>
      </c>
      <c r="K2602" t="s">
        <v>33</v>
      </c>
      <c r="L2602" t="s">
        <v>28</v>
      </c>
    </row>
    <row r="2603" spans="2:12" ht="15.75" customHeight="1">
      <c r="D2603" s="34" t="s">
        <v>126</v>
      </c>
      <c r="E2603">
        <v>1550</v>
      </c>
      <c r="F2603">
        <v>1</v>
      </c>
      <c r="H2603">
        <v>2</v>
      </c>
      <c r="J2603" t="s">
        <v>57</v>
      </c>
      <c r="K2603" t="s">
        <v>34</v>
      </c>
      <c r="L2603" t="s">
        <v>28</v>
      </c>
    </row>
    <row r="2604" spans="2:12" ht="15.75" customHeight="1">
      <c r="D2604" s="34" t="s">
        <v>126</v>
      </c>
      <c r="E2604">
        <v>1560</v>
      </c>
      <c r="F2604">
        <v>1</v>
      </c>
      <c r="H2604">
        <v>1</v>
      </c>
      <c r="J2604" t="s">
        <v>19</v>
      </c>
      <c r="K2604" t="s">
        <v>20</v>
      </c>
      <c r="L2604" t="s">
        <v>26</v>
      </c>
    </row>
    <row r="2605" spans="2:12" ht="15.75" customHeight="1">
      <c r="D2605" s="34" t="s">
        <v>126</v>
      </c>
      <c r="E2605">
        <v>1560</v>
      </c>
      <c r="F2605">
        <v>2</v>
      </c>
      <c r="H2605">
        <v>2</v>
      </c>
      <c r="J2605" t="s">
        <v>53</v>
      </c>
      <c r="K2605" t="s">
        <v>34</v>
      </c>
      <c r="L2605" t="s">
        <v>28</v>
      </c>
    </row>
    <row r="2606" spans="2:12" ht="15.75" customHeight="1">
      <c r="D2606" s="34" t="s">
        <v>126</v>
      </c>
      <c r="E2606">
        <v>1570</v>
      </c>
      <c r="F2606">
        <v>0</v>
      </c>
    </row>
    <row r="2607" spans="2:12" ht="15.75" customHeight="1">
      <c r="B2607" t="s">
        <v>99</v>
      </c>
      <c r="C2607" s="3" t="s">
        <v>100</v>
      </c>
      <c r="D2607" s="1" t="s">
        <v>126</v>
      </c>
      <c r="E2607">
        <v>1580</v>
      </c>
      <c r="F2607">
        <v>1</v>
      </c>
      <c r="G2607" s="32">
        <v>1</v>
      </c>
      <c r="H2607">
        <v>1</v>
      </c>
      <c r="J2607" t="s">
        <v>19</v>
      </c>
      <c r="K2607" t="s">
        <v>20</v>
      </c>
      <c r="L2607" t="s">
        <v>26</v>
      </c>
    </row>
    <row r="2608" spans="2:12" ht="15.75" customHeight="1">
      <c r="B2608" t="s">
        <v>99</v>
      </c>
      <c r="C2608" s="3" t="s">
        <v>100</v>
      </c>
      <c r="D2608" s="1" t="s">
        <v>126</v>
      </c>
      <c r="E2608">
        <v>1580</v>
      </c>
      <c r="F2608">
        <v>2</v>
      </c>
      <c r="G2608" s="32">
        <v>2</v>
      </c>
      <c r="H2608">
        <v>2</v>
      </c>
      <c r="J2608" t="s">
        <v>47</v>
      </c>
      <c r="K2608" t="s">
        <v>36</v>
      </c>
      <c r="L2608" t="s">
        <v>28</v>
      </c>
    </row>
    <row r="2609" spans="2:12" ht="15.75" customHeight="1">
      <c r="B2609" t="s">
        <v>99</v>
      </c>
      <c r="C2609" s="3" t="s">
        <v>100</v>
      </c>
      <c r="D2609" s="1" t="s">
        <v>126</v>
      </c>
      <c r="E2609">
        <v>1590</v>
      </c>
      <c r="F2609">
        <v>1</v>
      </c>
      <c r="G2609" s="32">
        <v>1</v>
      </c>
      <c r="H2609">
        <v>1</v>
      </c>
      <c r="J2609" t="s">
        <v>19</v>
      </c>
      <c r="K2609" t="s">
        <v>20</v>
      </c>
      <c r="L2609" t="s">
        <v>26</v>
      </c>
    </row>
    <row r="2610" spans="2:12" ht="15.75" customHeight="1">
      <c r="B2610" t="s">
        <v>99</v>
      </c>
      <c r="C2610" s="3" t="s">
        <v>100</v>
      </c>
      <c r="D2610" s="1" t="s">
        <v>126</v>
      </c>
      <c r="E2610">
        <v>1590</v>
      </c>
      <c r="F2610">
        <v>2</v>
      </c>
      <c r="G2610" s="32">
        <v>2</v>
      </c>
      <c r="H2610">
        <v>2</v>
      </c>
      <c r="J2610" t="s">
        <v>52</v>
      </c>
      <c r="K2610" t="s">
        <v>33</v>
      </c>
      <c r="L2610" t="s">
        <v>28</v>
      </c>
    </row>
    <row r="2611" spans="2:12" ht="15.75" customHeight="1">
      <c r="B2611" t="s">
        <v>99</v>
      </c>
      <c r="C2611" s="3" t="s">
        <v>100</v>
      </c>
      <c r="D2611" s="1" t="s">
        <v>126</v>
      </c>
      <c r="E2611">
        <v>1600</v>
      </c>
      <c r="F2611">
        <v>1</v>
      </c>
      <c r="G2611" s="32">
        <v>1</v>
      </c>
      <c r="H2611">
        <v>1</v>
      </c>
      <c r="J2611" t="s">
        <v>19</v>
      </c>
      <c r="K2611" t="s">
        <v>20</v>
      </c>
      <c r="L2611" t="s">
        <v>26</v>
      </c>
    </row>
    <row r="2612" spans="2:12" ht="15.75" customHeight="1">
      <c r="B2612" t="s">
        <v>99</v>
      </c>
      <c r="C2612" s="3" t="s">
        <v>100</v>
      </c>
      <c r="D2612" s="1" t="s">
        <v>126</v>
      </c>
      <c r="E2612">
        <v>1600</v>
      </c>
      <c r="F2612">
        <v>2</v>
      </c>
      <c r="G2612" s="32">
        <v>2</v>
      </c>
      <c r="H2612">
        <v>2</v>
      </c>
      <c r="J2612" t="s">
        <v>47</v>
      </c>
      <c r="K2612" t="s">
        <v>33</v>
      </c>
      <c r="L2612" t="s">
        <v>28</v>
      </c>
    </row>
    <row r="2613" spans="2:12" ht="15.75" customHeight="1">
      <c r="B2613" t="s">
        <v>99</v>
      </c>
      <c r="C2613" s="3" t="s">
        <v>100</v>
      </c>
      <c r="D2613" s="1" t="s">
        <v>126</v>
      </c>
      <c r="E2613">
        <v>1610</v>
      </c>
      <c r="F2613">
        <v>1</v>
      </c>
      <c r="G2613" s="32">
        <v>2</v>
      </c>
      <c r="H2613">
        <v>1</v>
      </c>
      <c r="J2613" t="s">
        <v>19</v>
      </c>
      <c r="K2613" t="s">
        <v>20</v>
      </c>
      <c r="L2613" t="s">
        <v>26</v>
      </c>
    </row>
    <row r="2614" spans="2:12" ht="15.75" customHeight="1">
      <c r="B2614" t="s">
        <v>99</v>
      </c>
      <c r="C2614" s="3" t="s">
        <v>100</v>
      </c>
      <c r="D2614" s="1" t="s">
        <v>126</v>
      </c>
      <c r="E2614">
        <v>1610</v>
      </c>
      <c r="F2614">
        <v>2</v>
      </c>
      <c r="G2614" s="32">
        <v>1</v>
      </c>
      <c r="H2614">
        <v>1</v>
      </c>
      <c r="J2614" t="s">
        <v>42</v>
      </c>
      <c r="K2614" t="s">
        <v>20</v>
      </c>
      <c r="L2614" t="s">
        <v>26</v>
      </c>
    </row>
    <row r="2615" spans="2:12" ht="15.75" customHeight="1">
      <c r="B2615" t="s">
        <v>99</v>
      </c>
      <c r="C2615" s="3" t="s">
        <v>100</v>
      </c>
      <c r="D2615" s="1" t="s">
        <v>126</v>
      </c>
      <c r="E2615">
        <v>1620</v>
      </c>
      <c r="F2615">
        <v>1</v>
      </c>
      <c r="G2615" s="32">
        <v>2</v>
      </c>
      <c r="H2615">
        <v>1</v>
      </c>
      <c r="J2615" t="s">
        <v>19</v>
      </c>
      <c r="K2615" t="s">
        <v>20</v>
      </c>
      <c r="L2615" t="s">
        <v>26</v>
      </c>
    </row>
    <row r="2616" spans="2:12" ht="15.75" customHeight="1">
      <c r="B2616" t="s">
        <v>99</v>
      </c>
      <c r="C2616" s="3" t="s">
        <v>100</v>
      </c>
      <c r="D2616" s="1" t="s">
        <v>126</v>
      </c>
      <c r="E2616">
        <v>1620</v>
      </c>
      <c r="F2616">
        <v>2</v>
      </c>
      <c r="G2616" s="32">
        <v>1</v>
      </c>
      <c r="H2616">
        <v>1</v>
      </c>
      <c r="J2616" t="s">
        <v>42</v>
      </c>
      <c r="K2616" t="s">
        <v>20</v>
      </c>
      <c r="L2616" t="s">
        <v>26</v>
      </c>
    </row>
    <row r="2617" spans="2:12" ht="15.75" customHeight="1">
      <c r="B2617" t="s">
        <v>99</v>
      </c>
      <c r="C2617" s="3" t="s">
        <v>100</v>
      </c>
      <c r="D2617" s="1" t="s">
        <v>126</v>
      </c>
      <c r="E2617">
        <v>1620</v>
      </c>
      <c r="F2617">
        <v>3</v>
      </c>
      <c r="G2617" s="32">
        <v>2</v>
      </c>
      <c r="H2617">
        <v>2</v>
      </c>
      <c r="J2617" t="s">
        <v>101</v>
      </c>
      <c r="K2617" t="s">
        <v>36</v>
      </c>
      <c r="L2617" t="s">
        <v>28</v>
      </c>
    </row>
    <row r="2618" spans="2:12" ht="15.75" customHeight="1">
      <c r="D2618" s="34" t="s">
        <v>126</v>
      </c>
      <c r="E2618">
        <v>1630</v>
      </c>
      <c r="F2618">
        <v>1</v>
      </c>
      <c r="H2618">
        <v>1</v>
      </c>
      <c r="J2618" t="s">
        <v>19</v>
      </c>
      <c r="K2618" t="s">
        <v>20</v>
      </c>
      <c r="L2618" t="s">
        <v>26</v>
      </c>
    </row>
    <row r="2619" spans="2:12" ht="15.75" customHeight="1">
      <c r="D2619" s="34" t="s">
        <v>126</v>
      </c>
      <c r="E2619">
        <v>1630</v>
      </c>
      <c r="F2619">
        <v>2</v>
      </c>
      <c r="H2619">
        <v>1</v>
      </c>
      <c r="J2619" t="s">
        <v>42</v>
      </c>
      <c r="K2619" t="s">
        <v>20</v>
      </c>
      <c r="L2619" t="s">
        <v>26</v>
      </c>
    </row>
    <row r="2620" spans="2:12" ht="15.75" customHeight="1">
      <c r="D2620" s="34" t="s">
        <v>126</v>
      </c>
      <c r="E2620">
        <v>1630</v>
      </c>
      <c r="F2620">
        <v>3</v>
      </c>
      <c r="H2620">
        <v>2</v>
      </c>
      <c r="J2620" t="s">
        <v>103</v>
      </c>
      <c r="K2620" t="s">
        <v>27</v>
      </c>
      <c r="L2620" t="s">
        <v>28</v>
      </c>
    </row>
    <row r="2621" spans="2:12" ht="15.75" customHeight="1">
      <c r="B2621" t="s">
        <v>99</v>
      </c>
      <c r="C2621" s="3" t="s">
        <v>100</v>
      </c>
      <c r="D2621" s="1" t="s">
        <v>126</v>
      </c>
      <c r="E2621">
        <v>1640</v>
      </c>
      <c r="F2621">
        <v>1</v>
      </c>
      <c r="G2621" s="32">
        <v>1</v>
      </c>
      <c r="H2621">
        <v>1</v>
      </c>
      <c r="J2621" t="s">
        <v>19</v>
      </c>
      <c r="K2621" t="s">
        <v>20</v>
      </c>
      <c r="L2621" t="s">
        <v>26</v>
      </c>
    </row>
    <row r="2622" spans="2:12" ht="15.75" customHeight="1">
      <c r="B2622" t="s">
        <v>99</v>
      </c>
      <c r="C2622" s="3" t="s">
        <v>100</v>
      </c>
      <c r="D2622" s="1" t="s">
        <v>126</v>
      </c>
      <c r="E2622">
        <v>1640</v>
      </c>
      <c r="F2622">
        <v>2</v>
      </c>
      <c r="G2622" s="32">
        <v>3</v>
      </c>
      <c r="H2622">
        <v>0</v>
      </c>
      <c r="J2622" t="s">
        <v>42</v>
      </c>
      <c r="K2622" t="s">
        <v>131</v>
      </c>
      <c r="L2622" t="s">
        <v>26</v>
      </c>
    </row>
    <row r="2623" spans="2:12" ht="15.75" customHeight="1">
      <c r="B2623" t="s">
        <v>99</v>
      </c>
      <c r="C2623" s="3" t="s">
        <v>100</v>
      </c>
      <c r="D2623" s="1" t="s">
        <v>126</v>
      </c>
      <c r="E2623">
        <v>1640</v>
      </c>
      <c r="F2623">
        <v>3</v>
      </c>
      <c r="G2623" s="32">
        <v>2</v>
      </c>
      <c r="H2623">
        <v>2</v>
      </c>
      <c r="J2623" t="s">
        <v>101</v>
      </c>
      <c r="K2623" t="s">
        <v>36</v>
      </c>
      <c r="L2623" t="s">
        <v>28</v>
      </c>
    </row>
    <row r="2624" spans="2:12" ht="15.75" customHeight="1">
      <c r="B2624" t="s">
        <v>99</v>
      </c>
      <c r="C2624" s="3" t="s">
        <v>100</v>
      </c>
      <c r="D2624" s="1" t="s">
        <v>126</v>
      </c>
      <c r="E2624">
        <v>1650</v>
      </c>
      <c r="F2624">
        <v>1</v>
      </c>
      <c r="G2624" s="32">
        <v>1</v>
      </c>
      <c r="H2624">
        <v>1</v>
      </c>
      <c r="J2624" t="s">
        <v>19</v>
      </c>
      <c r="K2624" t="s">
        <v>20</v>
      </c>
      <c r="L2624" t="s">
        <v>26</v>
      </c>
    </row>
    <row r="2625" spans="2:12" ht="15.75" customHeight="1">
      <c r="B2625" t="s">
        <v>99</v>
      </c>
      <c r="C2625" s="3" t="s">
        <v>100</v>
      </c>
      <c r="D2625" s="1" t="s">
        <v>126</v>
      </c>
      <c r="E2625">
        <v>1650</v>
      </c>
      <c r="F2625">
        <v>2</v>
      </c>
      <c r="G2625" s="32">
        <v>2</v>
      </c>
      <c r="H2625">
        <v>1</v>
      </c>
      <c r="J2625" t="s">
        <v>42</v>
      </c>
      <c r="K2625" t="s">
        <v>20</v>
      </c>
      <c r="L2625" t="s">
        <v>26</v>
      </c>
    </row>
    <row r="2626" spans="2:12" ht="15.75" customHeight="1">
      <c r="B2626" t="s">
        <v>99</v>
      </c>
      <c r="C2626" s="3" t="s">
        <v>100</v>
      </c>
      <c r="D2626" s="1" t="s">
        <v>126</v>
      </c>
      <c r="E2626">
        <v>1650</v>
      </c>
      <c r="F2626">
        <v>3</v>
      </c>
      <c r="G2626" s="32">
        <v>2</v>
      </c>
      <c r="H2626">
        <v>2</v>
      </c>
      <c r="J2626" t="s">
        <v>101</v>
      </c>
      <c r="K2626" t="s">
        <v>36</v>
      </c>
      <c r="L2626" t="s">
        <v>28</v>
      </c>
    </row>
    <row r="2627" spans="2:12" ht="15.75" customHeight="1">
      <c r="B2627" t="s">
        <v>99</v>
      </c>
      <c r="C2627" s="3" t="s">
        <v>100</v>
      </c>
      <c r="D2627" s="1" t="s">
        <v>126</v>
      </c>
      <c r="E2627">
        <v>1660</v>
      </c>
      <c r="F2627">
        <v>1</v>
      </c>
      <c r="G2627" s="32">
        <v>2</v>
      </c>
      <c r="H2627">
        <v>1</v>
      </c>
      <c r="J2627" t="s">
        <v>19</v>
      </c>
      <c r="K2627" t="s">
        <v>20</v>
      </c>
      <c r="L2627" t="s">
        <v>26</v>
      </c>
    </row>
    <row r="2628" spans="2:12" ht="15.75" customHeight="1">
      <c r="B2628" t="s">
        <v>99</v>
      </c>
      <c r="C2628" s="3" t="s">
        <v>100</v>
      </c>
      <c r="D2628" s="1" t="s">
        <v>126</v>
      </c>
      <c r="E2628">
        <v>1660</v>
      </c>
      <c r="F2628">
        <v>2</v>
      </c>
      <c r="G2628" s="32">
        <v>1</v>
      </c>
      <c r="H2628">
        <v>2</v>
      </c>
      <c r="J2628" t="s">
        <v>101</v>
      </c>
      <c r="K2628" t="s">
        <v>36</v>
      </c>
      <c r="L2628" t="s">
        <v>28</v>
      </c>
    </row>
    <row r="2629" spans="2:12" ht="15.75" customHeight="1">
      <c r="B2629" t="s">
        <v>99</v>
      </c>
      <c r="C2629" s="3" t="s">
        <v>100</v>
      </c>
      <c r="D2629" s="1" t="s">
        <v>126</v>
      </c>
      <c r="E2629">
        <v>1670</v>
      </c>
      <c r="F2629">
        <v>1</v>
      </c>
      <c r="G2629" s="32">
        <v>2</v>
      </c>
      <c r="H2629">
        <v>1</v>
      </c>
      <c r="J2629" t="s">
        <v>19</v>
      </c>
      <c r="K2629" t="s">
        <v>20</v>
      </c>
      <c r="L2629" t="s">
        <v>26</v>
      </c>
    </row>
    <row r="2630" spans="2:12" ht="15.75" customHeight="1">
      <c r="B2630" t="s">
        <v>99</v>
      </c>
      <c r="C2630" s="3" t="s">
        <v>100</v>
      </c>
      <c r="D2630" s="1" t="s">
        <v>126</v>
      </c>
      <c r="E2630">
        <v>1670</v>
      </c>
      <c r="F2630">
        <v>2</v>
      </c>
      <c r="G2630" s="32">
        <v>1</v>
      </c>
      <c r="H2630">
        <v>1</v>
      </c>
      <c r="J2630" t="s">
        <v>42</v>
      </c>
      <c r="K2630" t="s">
        <v>20</v>
      </c>
      <c r="L2630" t="s">
        <v>26</v>
      </c>
    </row>
    <row r="2631" spans="2:12" ht="15.75" customHeight="1">
      <c r="B2631" t="s">
        <v>99</v>
      </c>
      <c r="C2631" s="3" t="s">
        <v>100</v>
      </c>
      <c r="D2631" s="1" t="s">
        <v>126</v>
      </c>
      <c r="E2631">
        <v>1670</v>
      </c>
      <c r="F2631">
        <v>3</v>
      </c>
      <c r="G2631" s="32">
        <v>1</v>
      </c>
      <c r="H2631">
        <v>2</v>
      </c>
      <c r="J2631" t="s">
        <v>101</v>
      </c>
      <c r="K2631" t="s">
        <v>36</v>
      </c>
      <c r="L2631" t="s">
        <v>28</v>
      </c>
    </row>
    <row r="2632" spans="2:12" ht="15.75" customHeight="1">
      <c r="D2632" s="34" t="s">
        <v>126</v>
      </c>
      <c r="E2632">
        <v>1680</v>
      </c>
      <c r="F2632">
        <v>1</v>
      </c>
      <c r="H2632">
        <v>1</v>
      </c>
      <c r="J2632" t="s">
        <v>19</v>
      </c>
      <c r="K2632" t="s">
        <v>20</v>
      </c>
      <c r="L2632" t="s">
        <v>26</v>
      </c>
    </row>
    <row r="2633" spans="2:12" ht="15.75" customHeight="1">
      <c r="D2633" s="34" t="s">
        <v>126</v>
      </c>
      <c r="E2633">
        <v>1680</v>
      </c>
      <c r="F2633">
        <v>2</v>
      </c>
      <c r="H2633">
        <v>1</v>
      </c>
      <c r="J2633" t="s">
        <v>19</v>
      </c>
      <c r="K2633" t="s">
        <v>20</v>
      </c>
      <c r="L2633" t="s">
        <v>26</v>
      </c>
    </row>
    <row r="2634" spans="2:12" ht="15.75" customHeight="1">
      <c r="B2634" t="s">
        <v>99</v>
      </c>
      <c r="C2634" s="3" t="s">
        <v>100</v>
      </c>
      <c r="D2634" s="1" t="s">
        <v>126</v>
      </c>
      <c r="E2634">
        <v>1690</v>
      </c>
      <c r="F2634">
        <v>1</v>
      </c>
      <c r="G2634" s="32">
        <v>2</v>
      </c>
      <c r="H2634">
        <v>1</v>
      </c>
      <c r="J2634" t="s">
        <v>19</v>
      </c>
      <c r="K2634" t="s">
        <v>20</v>
      </c>
      <c r="L2634" t="s">
        <v>26</v>
      </c>
    </row>
    <row r="2635" spans="2:12" ht="15.75" customHeight="1">
      <c r="B2635" t="s">
        <v>99</v>
      </c>
      <c r="C2635" s="3" t="s">
        <v>100</v>
      </c>
      <c r="D2635" s="1" t="s">
        <v>126</v>
      </c>
      <c r="E2635">
        <v>1690</v>
      </c>
      <c r="F2635">
        <v>2</v>
      </c>
      <c r="G2635" s="32">
        <v>1</v>
      </c>
      <c r="H2635">
        <v>1</v>
      </c>
      <c r="J2635" t="s">
        <v>42</v>
      </c>
      <c r="K2635" t="s">
        <v>20</v>
      </c>
      <c r="L2635" t="s">
        <v>26</v>
      </c>
    </row>
    <row r="2636" spans="2:12" ht="15.75" customHeight="1">
      <c r="B2636" t="s">
        <v>99</v>
      </c>
      <c r="C2636" s="3" t="s">
        <v>100</v>
      </c>
      <c r="D2636" s="1" t="s">
        <v>126</v>
      </c>
      <c r="E2636">
        <v>1690</v>
      </c>
      <c r="F2636">
        <v>3</v>
      </c>
      <c r="G2636" s="32">
        <v>2</v>
      </c>
      <c r="H2636">
        <v>2</v>
      </c>
      <c r="J2636" t="s">
        <v>47</v>
      </c>
      <c r="K2636" t="s">
        <v>33</v>
      </c>
      <c r="L2636" t="s">
        <v>28</v>
      </c>
    </row>
    <row r="2637" spans="2:12" ht="15.75" customHeight="1">
      <c r="B2637" t="s">
        <v>99</v>
      </c>
      <c r="C2637" s="3" t="s">
        <v>100</v>
      </c>
      <c r="D2637" s="1" t="s">
        <v>126</v>
      </c>
      <c r="E2637">
        <v>1700</v>
      </c>
      <c r="F2637">
        <v>1</v>
      </c>
      <c r="G2637" s="32">
        <v>1</v>
      </c>
      <c r="H2637">
        <v>1</v>
      </c>
      <c r="J2637" t="s">
        <v>19</v>
      </c>
      <c r="K2637" t="s">
        <v>20</v>
      </c>
      <c r="L2637" t="s">
        <v>26</v>
      </c>
    </row>
    <row r="2638" spans="2:12" ht="15.75" customHeight="1">
      <c r="B2638" t="s">
        <v>99</v>
      </c>
      <c r="C2638" s="3" t="s">
        <v>100</v>
      </c>
      <c r="D2638" s="1" t="s">
        <v>126</v>
      </c>
      <c r="E2638">
        <v>1700</v>
      </c>
      <c r="F2638">
        <v>2</v>
      </c>
      <c r="G2638" s="32">
        <v>2</v>
      </c>
      <c r="H2638">
        <v>2</v>
      </c>
      <c r="J2638" t="s">
        <v>47</v>
      </c>
      <c r="K2638" t="s">
        <v>36</v>
      </c>
      <c r="L2638" t="s">
        <v>28</v>
      </c>
    </row>
    <row r="2639" spans="2:12" ht="15.75" customHeight="1">
      <c r="D2639" s="34" t="s">
        <v>126</v>
      </c>
      <c r="E2639">
        <v>1710</v>
      </c>
      <c r="F2639">
        <v>1</v>
      </c>
      <c r="H2639">
        <v>1</v>
      </c>
      <c r="J2639" t="s">
        <v>19</v>
      </c>
      <c r="K2639" t="s">
        <v>20</v>
      </c>
      <c r="L2639" t="s">
        <v>26</v>
      </c>
    </row>
    <row r="2640" spans="2:12" ht="15.75" customHeight="1">
      <c r="D2640" s="34" t="s">
        <v>126</v>
      </c>
      <c r="E2640">
        <v>1720</v>
      </c>
      <c r="F2640">
        <v>1</v>
      </c>
      <c r="H2640">
        <v>2</v>
      </c>
      <c r="J2640" t="s">
        <v>53</v>
      </c>
      <c r="K2640" t="s">
        <v>34</v>
      </c>
      <c r="L2640" t="s">
        <v>28</v>
      </c>
    </row>
    <row r="2641" spans="2:12" ht="15.75" customHeight="1">
      <c r="D2641" s="34" t="s">
        <v>126</v>
      </c>
      <c r="E2641">
        <v>1730</v>
      </c>
      <c r="F2641">
        <v>1</v>
      </c>
      <c r="H2641">
        <v>2</v>
      </c>
      <c r="J2641" t="s">
        <v>53</v>
      </c>
      <c r="K2641" t="s">
        <v>31</v>
      </c>
      <c r="L2641" t="s">
        <v>28</v>
      </c>
    </row>
    <row r="2642" spans="2:12" ht="15.75" customHeight="1">
      <c r="D2642" s="34" t="s">
        <v>126</v>
      </c>
      <c r="E2642">
        <v>1740</v>
      </c>
      <c r="F2642">
        <v>1</v>
      </c>
      <c r="H2642">
        <v>2</v>
      </c>
      <c r="J2642" t="s">
        <v>53</v>
      </c>
      <c r="K2642" t="s">
        <v>31</v>
      </c>
      <c r="L2642" t="s">
        <v>28</v>
      </c>
    </row>
    <row r="2643" spans="2:12" ht="15.75" customHeight="1">
      <c r="B2643" t="s">
        <v>99</v>
      </c>
      <c r="C2643" s="3" t="s">
        <v>100</v>
      </c>
      <c r="D2643" s="1" t="s">
        <v>126</v>
      </c>
      <c r="E2643">
        <v>1750</v>
      </c>
      <c r="F2643">
        <v>1</v>
      </c>
      <c r="G2643" s="32">
        <v>1</v>
      </c>
      <c r="H2643">
        <v>1</v>
      </c>
      <c r="J2643" t="s">
        <v>19</v>
      </c>
      <c r="K2643" t="s">
        <v>20</v>
      </c>
      <c r="L2643" t="s">
        <v>26</v>
      </c>
    </row>
    <row r="2644" spans="2:12" ht="15.75" customHeight="1">
      <c r="B2644" t="s">
        <v>99</v>
      </c>
      <c r="C2644" s="3" t="s">
        <v>100</v>
      </c>
      <c r="D2644" s="1" t="s">
        <v>126</v>
      </c>
      <c r="E2644">
        <v>1750</v>
      </c>
      <c r="F2644">
        <v>2</v>
      </c>
      <c r="G2644" s="32">
        <v>0</v>
      </c>
      <c r="H2644">
        <v>0</v>
      </c>
      <c r="J2644" t="s">
        <v>52</v>
      </c>
      <c r="K2644" t="s">
        <v>131</v>
      </c>
      <c r="L2644" t="s">
        <v>28</v>
      </c>
    </row>
    <row r="2645" spans="2:12" ht="15.75" customHeight="1">
      <c r="B2645" t="s">
        <v>99</v>
      </c>
      <c r="C2645" s="3" t="s">
        <v>100</v>
      </c>
      <c r="D2645" s="1" t="s">
        <v>126</v>
      </c>
      <c r="E2645">
        <v>1760</v>
      </c>
      <c r="F2645">
        <v>1</v>
      </c>
      <c r="G2645" s="32">
        <v>1</v>
      </c>
      <c r="H2645">
        <v>1</v>
      </c>
      <c r="J2645" t="s">
        <v>19</v>
      </c>
      <c r="K2645" t="s">
        <v>20</v>
      </c>
      <c r="L2645" t="s">
        <v>26</v>
      </c>
    </row>
    <row r="2646" spans="2:12" ht="15.75" customHeight="1">
      <c r="B2646" t="s">
        <v>99</v>
      </c>
      <c r="C2646" s="3" t="s">
        <v>100</v>
      </c>
      <c r="D2646" s="1" t="s">
        <v>126</v>
      </c>
      <c r="E2646">
        <v>1760</v>
      </c>
      <c r="F2646">
        <v>2</v>
      </c>
      <c r="G2646" s="32">
        <v>2</v>
      </c>
      <c r="H2646">
        <v>2</v>
      </c>
      <c r="J2646" t="s">
        <v>47</v>
      </c>
      <c r="K2646" t="s">
        <v>47</v>
      </c>
      <c r="L2646" t="s">
        <v>28</v>
      </c>
    </row>
    <row r="2647" spans="2:12" ht="15.75" customHeight="1">
      <c r="B2647" t="s">
        <v>99</v>
      </c>
      <c r="C2647" s="3" t="s">
        <v>100</v>
      </c>
      <c r="D2647" s="1" t="s">
        <v>126</v>
      </c>
      <c r="E2647">
        <v>1770</v>
      </c>
      <c r="F2647">
        <v>1</v>
      </c>
      <c r="G2647" s="32">
        <v>1</v>
      </c>
      <c r="H2647">
        <v>1</v>
      </c>
      <c r="J2647" t="s">
        <v>19</v>
      </c>
      <c r="K2647" t="s">
        <v>20</v>
      </c>
      <c r="L2647" t="s">
        <v>26</v>
      </c>
    </row>
    <row r="2648" spans="2:12" ht="15.75" customHeight="1">
      <c r="B2648" t="s">
        <v>99</v>
      </c>
      <c r="C2648" s="3" t="s">
        <v>100</v>
      </c>
      <c r="D2648" s="1" t="s">
        <v>126</v>
      </c>
      <c r="E2648">
        <v>1780</v>
      </c>
      <c r="F2648">
        <v>1</v>
      </c>
      <c r="G2648" s="32">
        <v>1</v>
      </c>
      <c r="H2648">
        <v>1</v>
      </c>
      <c r="J2648" t="s">
        <v>19</v>
      </c>
      <c r="K2648" t="s">
        <v>20</v>
      </c>
      <c r="L2648" t="s">
        <v>26</v>
      </c>
    </row>
    <row r="2649" spans="2:12" ht="15.75" customHeight="1">
      <c r="B2649" t="s">
        <v>99</v>
      </c>
      <c r="C2649" s="3" t="s">
        <v>100</v>
      </c>
      <c r="D2649" s="1" t="s">
        <v>126</v>
      </c>
      <c r="E2649">
        <v>1780</v>
      </c>
      <c r="F2649">
        <v>2</v>
      </c>
      <c r="G2649" s="32">
        <v>2</v>
      </c>
      <c r="H2649">
        <v>2</v>
      </c>
      <c r="J2649" t="s">
        <v>101</v>
      </c>
      <c r="K2649" t="s">
        <v>36</v>
      </c>
      <c r="L2649" t="s">
        <v>28</v>
      </c>
    </row>
    <row r="2650" spans="2:12" ht="15.75" customHeight="1">
      <c r="B2650" t="s">
        <v>99</v>
      </c>
      <c r="C2650" s="3" t="s">
        <v>100</v>
      </c>
      <c r="D2650" s="1" t="s">
        <v>126</v>
      </c>
      <c r="E2650">
        <v>1790</v>
      </c>
      <c r="F2650">
        <v>1</v>
      </c>
      <c r="G2650" s="32">
        <v>1</v>
      </c>
      <c r="H2650">
        <v>1</v>
      </c>
      <c r="J2650" t="s">
        <v>19</v>
      </c>
      <c r="K2650" t="s">
        <v>20</v>
      </c>
      <c r="L2650" t="s">
        <v>26</v>
      </c>
    </row>
    <row r="2651" spans="2:12" ht="15.75" customHeight="1">
      <c r="B2651" t="s">
        <v>99</v>
      </c>
      <c r="C2651" s="3" t="s">
        <v>100</v>
      </c>
      <c r="D2651" s="1" t="s">
        <v>126</v>
      </c>
      <c r="E2651">
        <v>1790</v>
      </c>
      <c r="F2651">
        <v>2</v>
      </c>
      <c r="G2651" s="32">
        <v>2</v>
      </c>
      <c r="H2651">
        <v>2</v>
      </c>
      <c r="J2651" t="s">
        <v>101</v>
      </c>
      <c r="K2651" t="s">
        <v>36</v>
      </c>
      <c r="L2651" t="s">
        <v>28</v>
      </c>
    </row>
    <row r="2652" spans="2:12" ht="15.75" customHeight="1">
      <c r="B2652" t="s">
        <v>99</v>
      </c>
      <c r="C2652" s="3" t="s">
        <v>100</v>
      </c>
      <c r="D2652" s="1" t="s">
        <v>126</v>
      </c>
      <c r="E2652">
        <v>1800</v>
      </c>
      <c r="F2652">
        <v>1</v>
      </c>
      <c r="G2652" s="32">
        <v>1</v>
      </c>
      <c r="H2652">
        <v>1</v>
      </c>
      <c r="J2652" t="s">
        <v>19</v>
      </c>
      <c r="K2652" t="s">
        <v>20</v>
      </c>
      <c r="L2652" t="s">
        <v>26</v>
      </c>
    </row>
    <row r="2653" spans="2:12" ht="15.75" customHeight="1">
      <c r="B2653" t="s">
        <v>99</v>
      </c>
      <c r="C2653" s="3" t="s">
        <v>100</v>
      </c>
      <c r="D2653" s="1" t="s">
        <v>126</v>
      </c>
      <c r="E2653">
        <v>1800</v>
      </c>
      <c r="F2653">
        <v>2</v>
      </c>
      <c r="G2653" s="32">
        <v>1</v>
      </c>
      <c r="H2653">
        <v>1</v>
      </c>
      <c r="J2653" t="s">
        <v>42</v>
      </c>
      <c r="K2653" t="s">
        <v>20</v>
      </c>
      <c r="L2653" t="s">
        <v>26</v>
      </c>
    </row>
    <row r="2654" spans="2:12" ht="15.75" customHeight="1">
      <c r="B2654" t="s">
        <v>99</v>
      </c>
      <c r="C2654" s="3" t="s">
        <v>100</v>
      </c>
      <c r="D2654" s="1" t="s">
        <v>126</v>
      </c>
      <c r="E2654">
        <v>1800</v>
      </c>
      <c r="F2654">
        <v>3</v>
      </c>
      <c r="G2654" s="32">
        <v>1</v>
      </c>
      <c r="H2654">
        <v>2</v>
      </c>
      <c r="J2654" t="s">
        <v>101</v>
      </c>
      <c r="K2654" t="s">
        <v>36</v>
      </c>
      <c r="L2654" t="s">
        <v>28</v>
      </c>
    </row>
    <row r="2655" spans="2:12" ht="15.75" customHeight="1">
      <c r="B2655" t="s">
        <v>99</v>
      </c>
      <c r="C2655" s="3" t="s">
        <v>100</v>
      </c>
      <c r="D2655" s="1" t="s">
        <v>126</v>
      </c>
      <c r="E2655">
        <v>1810</v>
      </c>
      <c r="F2655">
        <v>1</v>
      </c>
      <c r="G2655" s="32">
        <v>1</v>
      </c>
      <c r="H2655">
        <v>1</v>
      </c>
      <c r="J2655" t="s">
        <v>19</v>
      </c>
      <c r="K2655" t="s">
        <v>20</v>
      </c>
      <c r="L2655" t="s">
        <v>26</v>
      </c>
    </row>
    <row r="2656" spans="2:12" ht="15.75" customHeight="1">
      <c r="B2656" t="s">
        <v>99</v>
      </c>
      <c r="C2656" s="3" t="s">
        <v>100</v>
      </c>
      <c r="D2656" s="1" t="s">
        <v>126</v>
      </c>
      <c r="E2656">
        <v>1810</v>
      </c>
      <c r="F2656">
        <v>2</v>
      </c>
      <c r="G2656" s="32">
        <v>0</v>
      </c>
      <c r="H2656">
        <v>0</v>
      </c>
      <c r="J2656" t="s">
        <v>47</v>
      </c>
      <c r="L2656" t="s">
        <v>28</v>
      </c>
    </row>
    <row r="2657" spans="2:12" ht="15.75" customHeight="1">
      <c r="B2657" t="s">
        <v>99</v>
      </c>
      <c r="C2657" s="3" t="s">
        <v>100</v>
      </c>
      <c r="D2657" s="1" t="s">
        <v>126</v>
      </c>
      <c r="E2657">
        <v>1820</v>
      </c>
      <c r="F2657">
        <v>1</v>
      </c>
      <c r="G2657" s="32">
        <v>1</v>
      </c>
      <c r="H2657">
        <v>1</v>
      </c>
      <c r="J2657" t="s">
        <v>19</v>
      </c>
      <c r="K2657" t="s">
        <v>20</v>
      </c>
      <c r="L2657" t="s">
        <v>26</v>
      </c>
    </row>
    <row r="2658" spans="2:12" ht="15.75" customHeight="1">
      <c r="B2658" t="s">
        <v>99</v>
      </c>
      <c r="C2658" s="3" t="s">
        <v>100</v>
      </c>
      <c r="D2658" s="1" t="s">
        <v>126</v>
      </c>
      <c r="E2658">
        <v>1820</v>
      </c>
      <c r="F2658">
        <v>2</v>
      </c>
      <c r="G2658" s="32">
        <v>2</v>
      </c>
      <c r="H2658">
        <v>2</v>
      </c>
      <c r="J2658" t="s">
        <v>47</v>
      </c>
      <c r="K2658" t="s">
        <v>33</v>
      </c>
      <c r="L2658" t="s">
        <v>28</v>
      </c>
    </row>
    <row r="2659" spans="2:12" ht="15.75" customHeight="1">
      <c r="B2659" t="s">
        <v>99</v>
      </c>
      <c r="C2659" s="3" t="s">
        <v>100</v>
      </c>
      <c r="D2659" s="1" t="s">
        <v>126</v>
      </c>
      <c r="E2659">
        <v>1830</v>
      </c>
      <c r="F2659">
        <v>1</v>
      </c>
      <c r="G2659" s="32">
        <v>1</v>
      </c>
      <c r="H2659">
        <v>1</v>
      </c>
      <c r="J2659" t="s">
        <v>19</v>
      </c>
      <c r="K2659" t="s">
        <v>20</v>
      </c>
      <c r="L2659" t="s">
        <v>26</v>
      </c>
    </row>
    <row r="2660" spans="2:12" ht="15.75" customHeight="1">
      <c r="B2660" t="s">
        <v>99</v>
      </c>
      <c r="C2660" s="3" t="s">
        <v>100</v>
      </c>
      <c r="D2660" s="1" t="s">
        <v>126</v>
      </c>
      <c r="E2660">
        <v>1830</v>
      </c>
      <c r="F2660">
        <v>2</v>
      </c>
      <c r="G2660" s="32">
        <v>0</v>
      </c>
      <c r="H2660">
        <v>0</v>
      </c>
      <c r="J2660" t="s">
        <v>47</v>
      </c>
      <c r="L2660" t="s">
        <v>28</v>
      </c>
    </row>
    <row r="2661" spans="2:12" ht="15.75" customHeight="1">
      <c r="B2661" t="s">
        <v>99</v>
      </c>
      <c r="C2661" s="3" t="s">
        <v>100</v>
      </c>
      <c r="D2661" s="1" t="s">
        <v>126</v>
      </c>
      <c r="E2661">
        <v>1840</v>
      </c>
      <c r="F2661">
        <v>1</v>
      </c>
      <c r="G2661" s="32">
        <v>1</v>
      </c>
      <c r="H2661">
        <v>1</v>
      </c>
      <c r="J2661" t="s">
        <v>19</v>
      </c>
      <c r="K2661" t="s">
        <v>20</v>
      </c>
      <c r="L2661" t="s">
        <v>26</v>
      </c>
    </row>
    <row r="2662" spans="2:12" ht="15.75" customHeight="1">
      <c r="B2662" t="s">
        <v>99</v>
      </c>
      <c r="C2662" s="3" t="s">
        <v>100</v>
      </c>
      <c r="D2662" s="1" t="s">
        <v>126</v>
      </c>
      <c r="E2662">
        <v>1840</v>
      </c>
      <c r="F2662">
        <v>2</v>
      </c>
      <c r="G2662" s="32">
        <v>1</v>
      </c>
      <c r="H2662">
        <v>1</v>
      </c>
      <c r="J2662" t="s">
        <v>42</v>
      </c>
      <c r="K2662" t="s">
        <v>20</v>
      </c>
      <c r="L2662" t="s">
        <v>26</v>
      </c>
    </row>
    <row r="2663" spans="2:12" ht="15.75" customHeight="1">
      <c r="B2663" t="s">
        <v>99</v>
      </c>
      <c r="C2663" s="3" t="s">
        <v>100</v>
      </c>
      <c r="D2663" s="1" t="s">
        <v>126</v>
      </c>
      <c r="E2663">
        <v>1840</v>
      </c>
      <c r="F2663">
        <v>3</v>
      </c>
      <c r="G2663" s="32">
        <v>2</v>
      </c>
      <c r="H2663">
        <v>2</v>
      </c>
      <c r="J2663" t="s">
        <v>47</v>
      </c>
      <c r="K2663" t="s">
        <v>47</v>
      </c>
      <c r="L2663" t="s">
        <v>28</v>
      </c>
    </row>
    <row r="2664" spans="2:12" ht="15.75" customHeight="1">
      <c r="B2664" t="s">
        <v>99</v>
      </c>
      <c r="C2664" s="3" t="s">
        <v>100</v>
      </c>
      <c r="D2664" s="1" t="s">
        <v>126</v>
      </c>
      <c r="E2664">
        <v>1850</v>
      </c>
      <c r="F2664">
        <v>1</v>
      </c>
      <c r="G2664" s="32">
        <v>1</v>
      </c>
      <c r="H2664">
        <v>1</v>
      </c>
      <c r="J2664" t="s">
        <v>19</v>
      </c>
      <c r="K2664" t="s">
        <v>20</v>
      </c>
      <c r="L2664" t="s">
        <v>26</v>
      </c>
    </row>
    <row r="2665" spans="2:12" ht="15.75" customHeight="1">
      <c r="B2665" t="s">
        <v>99</v>
      </c>
      <c r="C2665" s="3" t="s">
        <v>100</v>
      </c>
      <c r="D2665" s="1" t="s">
        <v>126</v>
      </c>
      <c r="E2665">
        <v>1850</v>
      </c>
      <c r="F2665">
        <v>2</v>
      </c>
      <c r="G2665" s="32">
        <v>1</v>
      </c>
      <c r="H2665">
        <v>1</v>
      </c>
      <c r="J2665" t="s">
        <v>42</v>
      </c>
      <c r="K2665" t="s">
        <v>20</v>
      </c>
      <c r="L2665" t="s">
        <v>26</v>
      </c>
    </row>
    <row r="2666" spans="2:12" ht="15.75" customHeight="1">
      <c r="B2666" t="s">
        <v>99</v>
      </c>
      <c r="C2666" s="3" t="s">
        <v>100</v>
      </c>
      <c r="D2666" s="1" t="s">
        <v>126</v>
      </c>
      <c r="E2666">
        <v>1860</v>
      </c>
      <c r="F2666">
        <v>1</v>
      </c>
      <c r="G2666" s="32">
        <v>1</v>
      </c>
      <c r="H2666">
        <v>1</v>
      </c>
      <c r="J2666" t="s">
        <v>19</v>
      </c>
      <c r="K2666" t="s">
        <v>20</v>
      </c>
      <c r="L2666" t="s">
        <v>26</v>
      </c>
    </row>
    <row r="2667" spans="2:12" ht="15.75" customHeight="1">
      <c r="B2667" t="s">
        <v>99</v>
      </c>
      <c r="C2667" s="3" t="s">
        <v>100</v>
      </c>
      <c r="D2667" s="1" t="s">
        <v>126</v>
      </c>
      <c r="E2667">
        <v>1860</v>
      </c>
      <c r="F2667">
        <v>2</v>
      </c>
      <c r="G2667" s="32">
        <v>0</v>
      </c>
      <c r="H2667">
        <v>0</v>
      </c>
      <c r="J2667" t="s">
        <v>35</v>
      </c>
      <c r="L2667" t="s">
        <v>28</v>
      </c>
    </row>
    <row r="2668" spans="2:12" ht="15.75" customHeight="1">
      <c r="B2668" t="s">
        <v>99</v>
      </c>
      <c r="C2668" s="3" t="s">
        <v>100</v>
      </c>
      <c r="D2668" s="1" t="s">
        <v>126</v>
      </c>
      <c r="E2668">
        <v>1870</v>
      </c>
      <c r="F2668">
        <v>1</v>
      </c>
      <c r="G2668" s="32">
        <v>1</v>
      </c>
      <c r="H2668">
        <v>1</v>
      </c>
      <c r="J2668" t="s">
        <v>19</v>
      </c>
      <c r="K2668" t="s">
        <v>20</v>
      </c>
      <c r="L2668" t="s">
        <v>26</v>
      </c>
    </row>
    <row r="2669" spans="2:12" ht="15.75" customHeight="1">
      <c r="B2669" t="s">
        <v>99</v>
      </c>
      <c r="C2669" s="3" t="s">
        <v>100</v>
      </c>
      <c r="D2669" s="1" t="s">
        <v>126</v>
      </c>
      <c r="E2669">
        <v>1870</v>
      </c>
      <c r="F2669">
        <v>2</v>
      </c>
      <c r="G2669" s="32">
        <v>1</v>
      </c>
      <c r="H2669">
        <v>1</v>
      </c>
      <c r="J2669" t="s">
        <v>42</v>
      </c>
      <c r="K2669" t="s">
        <v>20</v>
      </c>
      <c r="L2669" t="s">
        <v>26</v>
      </c>
    </row>
    <row r="2670" spans="2:12" ht="15.75" customHeight="1">
      <c r="B2670" t="s">
        <v>99</v>
      </c>
      <c r="C2670" s="3" t="s">
        <v>100</v>
      </c>
      <c r="D2670" s="1" t="s">
        <v>126</v>
      </c>
      <c r="E2670">
        <v>1870</v>
      </c>
      <c r="F2670">
        <v>3</v>
      </c>
      <c r="G2670" s="32">
        <v>0</v>
      </c>
      <c r="H2670">
        <v>0</v>
      </c>
      <c r="J2670" t="s">
        <v>35</v>
      </c>
      <c r="L2670" t="s">
        <v>28</v>
      </c>
    </row>
    <row r="2671" spans="2:12" ht="15.75" customHeight="1">
      <c r="B2671" t="s">
        <v>99</v>
      </c>
      <c r="C2671" s="3" t="s">
        <v>100</v>
      </c>
      <c r="D2671" s="1" t="s">
        <v>126</v>
      </c>
      <c r="E2671">
        <v>1880</v>
      </c>
      <c r="F2671">
        <v>1</v>
      </c>
      <c r="G2671" s="32">
        <v>1</v>
      </c>
      <c r="H2671">
        <v>1</v>
      </c>
      <c r="J2671" t="s">
        <v>19</v>
      </c>
      <c r="K2671" t="s">
        <v>20</v>
      </c>
      <c r="L2671" t="s">
        <v>26</v>
      </c>
    </row>
    <row r="2672" spans="2:12" ht="15.75" customHeight="1">
      <c r="B2672" t="s">
        <v>99</v>
      </c>
      <c r="C2672" s="3" t="s">
        <v>100</v>
      </c>
      <c r="D2672" s="1" t="s">
        <v>126</v>
      </c>
      <c r="E2672">
        <v>1880</v>
      </c>
      <c r="F2672">
        <v>2</v>
      </c>
      <c r="G2672" s="32">
        <v>1</v>
      </c>
      <c r="H2672">
        <v>1</v>
      </c>
      <c r="J2672" t="s">
        <v>42</v>
      </c>
      <c r="K2672" t="s">
        <v>20</v>
      </c>
      <c r="L2672" t="s">
        <v>26</v>
      </c>
    </row>
    <row r="2673" spans="2:12" ht="15.75" customHeight="1">
      <c r="B2673" t="s">
        <v>99</v>
      </c>
      <c r="C2673" s="3" t="s">
        <v>100</v>
      </c>
      <c r="D2673" s="1" t="s">
        <v>126</v>
      </c>
      <c r="E2673">
        <v>1880</v>
      </c>
      <c r="F2673">
        <v>3</v>
      </c>
      <c r="G2673" s="32">
        <v>2</v>
      </c>
      <c r="H2673">
        <v>2</v>
      </c>
      <c r="J2673" t="s">
        <v>35</v>
      </c>
      <c r="K2673" t="s">
        <v>36</v>
      </c>
      <c r="L2673" t="s">
        <v>28</v>
      </c>
    </row>
    <row r="2674" spans="2:12" ht="15.75" customHeight="1">
      <c r="B2674" t="s">
        <v>99</v>
      </c>
      <c r="C2674" s="3" t="s">
        <v>100</v>
      </c>
      <c r="D2674" s="1" t="s">
        <v>126</v>
      </c>
      <c r="E2674">
        <v>1890</v>
      </c>
      <c r="F2674">
        <v>1</v>
      </c>
      <c r="G2674" s="32">
        <v>1</v>
      </c>
      <c r="H2674">
        <v>1</v>
      </c>
      <c r="J2674" t="s">
        <v>19</v>
      </c>
      <c r="K2674" t="s">
        <v>20</v>
      </c>
      <c r="L2674" t="s">
        <v>26</v>
      </c>
    </row>
    <row r="2675" spans="2:12" ht="15.75" customHeight="1">
      <c r="B2675" t="s">
        <v>99</v>
      </c>
      <c r="C2675" s="3" t="s">
        <v>100</v>
      </c>
      <c r="D2675" s="1" t="s">
        <v>126</v>
      </c>
      <c r="E2675">
        <v>1890</v>
      </c>
      <c r="F2675">
        <v>2</v>
      </c>
      <c r="G2675" s="32">
        <v>1</v>
      </c>
      <c r="H2675">
        <v>2</v>
      </c>
      <c r="J2675" t="s">
        <v>35</v>
      </c>
      <c r="K2675" t="s">
        <v>36</v>
      </c>
      <c r="L2675" t="s">
        <v>28</v>
      </c>
    </row>
    <row r="2676" spans="2:12" ht="15.75" customHeight="1">
      <c r="B2676" t="s">
        <v>99</v>
      </c>
      <c r="C2676" s="3" t="s">
        <v>100</v>
      </c>
      <c r="D2676" s="1" t="s">
        <v>126</v>
      </c>
      <c r="E2676">
        <v>1900</v>
      </c>
      <c r="F2676">
        <v>1</v>
      </c>
      <c r="G2676" s="32">
        <v>1</v>
      </c>
      <c r="H2676">
        <v>1</v>
      </c>
      <c r="J2676" t="s">
        <v>19</v>
      </c>
      <c r="K2676" t="s">
        <v>20</v>
      </c>
      <c r="L2676" t="s">
        <v>26</v>
      </c>
    </row>
    <row r="2677" spans="2:12" ht="15.75" customHeight="1">
      <c r="B2677" t="s">
        <v>99</v>
      </c>
      <c r="C2677" s="3" t="s">
        <v>100</v>
      </c>
      <c r="D2677" s="1" t="s">
        <v>126</v>
      </c>
      <c r="E2677">
        <v>1900</v>
      </c>
      <c r="F2677">
        <v>2</v>
      </c>
      <c r="G2677" s="32">
        <v>0</v>
      </c>
      <c r="H2677">
        <v>0</v>
      </c>
      <c r="J2677" t="s">
        <v>35</v>
      </c>
      <c r="L2677" t="s">
        <v>28</v>
      </c>
    </row>
    <row r="2678" spans="2:12" ht="15.75" customHeight="1">
      <c r="D2678" s="34" t="s">
        <v>126</v>
      </c>
      <c r="E2678">
        <v>1910</v>
      </c>
      <c r="F2678">
        <v>1</v>
      </c>
      <c r="H2678">
        <v>0</v>
      </c>
      <c r="J2678" t="s">
        <v>38</v>
      </c>
      <c r="L2678" t="s">
        <v>28</v>
      </c>
    </row>
    <row r="2679" spans="2:12" ht="15.75" customHeight="1">
      <c r="D2679" s="34" t="s">
        <v>126</v>
      </c>
      <c r="E2679">
        <v>1920</v>
      </c>
      <c r="F2679">
        <v>1</v>
      </c>
      <c r="H2679">
        <v>2</v>
      </c>
      <c r="J2679" t="s">
        <v>38</v>
      </c>
      <c r="K2679" t="s">
        <v>34</v>
      </c>
      <c r="L2679" t="s">
        <v>28</v>
      </c>
    </row>
    <row r="2680" spans="2:12" ht="15.75" customHeight="1">
      <c r="B2680" t="s">
        <v>99</v>
      </c>
      <c r="C2680" s="3" t="s">
        <v>100</v>
      </c>
      <c r="D2680" s="1" t="s">
        <v>126</v>
      </c>
      <c r="E2680">
        <v>1930</v>
      </c>
      <c r="F2680">
        <v>1</v>
      </c>
      <c r="G2680" s="32">
        <v>1</v>
      </c>
      <c r="H2680">
        <v>1</v>
      </c>
      <c r="J2680" t="s">
        <v>19</v>
      </c>
      <c r="K2680" t="s">
        <v>20</v>
      </c>
      <c r="L2680" t="s">
        <v>26</v>
      </c>
    </row>
    <row r="2681" spans="2:12" ht="15.75" customHeight="1">
      <c r="B2681" t="s">
        <v>99</v>
      </c>
      <c r="C2681" s="3" t="s">
        <v>100</v>
      </c>
      <c r="D2681" s="1" t="s">
        <v>126</v>
      </c>
      <c r="E2681">
        <v>1930</v>
      </c>
      <c r="F2681">
        <v>2</v>
      </c>
      <c r="G2681" s="32">
        <v>2</v>
      </c>
      <c r="H2681">
        <v>2</v>
      </c>
      <c r="J2681" t="s">
        <v>35</v>
      </c>
      <c r="K2681" t="s">
        <v>36</v>
      </c>
      <c r="L2681" t="s">
        <v>28</v>
      </c>
    </row>
    <row r="2682" spans="2:12" ht="15.75" customHeight="1">
      <c r="D2682" s="34" t="s">
        <v>126</v>
      </c>
      <c r="E2682">
        <v>1940</v>
      </c>
      <c r="F2682">
        <v>1</v>
      </c>
      <c r="H2682">
        <v>1</v>
      </c>
      <c r="J2682" t="s">
        <v>19</v>
      </c>
      <c r="K2682" t="s">
        <v>20</v>
      </c>
      <c r="L2682" t="s">
        <v>26</v>
      </c>
    </row>
    <row r="2683" spans="2:12" ht="15.75" customHeight="1">
      <c r="D2683" s="34" t="s">
        <v>126</v>
      </c>
      <c r="E2683">
        <v>1950</v>
      </c>
      <c r="F2683">
        <v>1</v>
      </c>
      <c r="H2683">
        <v>0</v>
      </c>
      <c r="J2683" t="s">
        <v>53</v>
      </c>
      <c r="L2683" t="s">
        <v>28</v>
      </c>
    </row>
    <row r="2684" spans="2:12" ht="15.75" customHeight="1">
      <c r="D2684" s="34" t="s">
        <v>126</v>
      </c>
      <c r="E2684">
        <v>1960</v>
      </c>
      <c r="F2684">
        <v>1</v>
      </c>
      <c r="H2684">
        <v>0</v>
      </c>
      <c r="J2684" t="s">
        <v>57</v>
      </c>
      <c r="L2684" t="s">
        <v>28</v>
      </c>
    </row>
    <row r="2685" spans="2:12" ht="15.75" customHeight="1">
      <c r="D2685" s="34" t="s">
        <v>126</v>
      </c>
      <c r="E2685">
        <v>1970</v>
      </c>
      <c r="F2685">
        <v>1</v>
      </c>
      <c r="H2685">
        <v>1</v>
      </c>
      <c r="J2685" t="s">
        <v>19</v>
      </c>
      <c r="K2685" t="s">
        <v>20</v>
      </c>
      <c r="L2685" t="s">
        <v>26</v>
      </c>
    </row>
    <row r="2686" spans="2:12" ht="15.75" customHeight="1">
      <c r="D2686" s="34" t="s">
        <v>126</v>
      </c>
      <c r="E2686">
        <v>1970</v>
      </c>
      <c r="F2686">
        <v>2</v>
      </c>
      <c r="H2686">
        <v>0</v>
      </c>
      <c r="J2686" t="s">
        <v>57</v>
      </c>
      <c r="L2686" t="s">
        <v>28</v>
      </c>
    </row>
    <row r="2687" spans="2:12" ht="15.75" customHeight="1">
      <c r="D2687" s="34" t="s">
        <v>126</v>
      </c>
      <c r="E2687">
        <v>1980</v>
      </c>
      <c r="F2687">
        <v>1</v>
      </c>
      <c r="H2687">
        <v>1</v>
      </c>
      <c r="J2687" t="s">
        <v>19</v>
      </c>
      <c r="K2687" t="s">
        <v>20</v>
      </c>
      <c r="L2687" t="s">
        <v>26</v>
      </c>
    </row>
    <row r="2688" spans="2:12" ht="15.75" customHeight="1">
      <c r="D2688" s="34" t="s">
        <v>126</v>
      </c>
      <c r="E2688">
        <v>1980</v>
      </c>
      <c r="F2688">
        <v>2</v>
      </c>
      <c r="H2688">
        <v>0</v>
      </c>
      <c r="J2688" t="s">
        <v>57</v>
      </c>
      <c r="L2688" t="s">
        <v>28</v>
      </c>
    </row>
    <row r="2689" spans="2:12" ht="15.75" customHeight="1">
      <c r="D2689" s="34" t="s">
        <v>126</v>
      </c>
      <c r="E2689">
        <v>1990</v>
      </c>
      <c r="F2689">
        <v>1</v>
      </c>
      <c r="H2689">
        <v>1</v>
      </c>
      <c r="J2689" t="s">
        <v>19</v>
      </c>
      <c r="K2689" t="s">
        <v>20</v>
      </c>
      <c r="L2689" t="s">
        <v>26</v>
      </c>
    </row>
    <row r="2690" spans="2:12" ht="15.75" customHeight="1">
      <c r="D2690" s="34" t="s">
        <v>126</v>
      </c>
      <c r="E2690">
        <v>1990</v>
      </c>
      <c r="F2690">
        <v>2</v>
      </c>
      <c r="H2690">
        <v>0</v>
      </c>
      <c r="J2690" t="s">
        <v>53</v>
      </c>
      <c r="L2690" t="s">
        <v>28</v>
      </c>
    </row>
    <row r="2691" spans="2:12" ht="15.75" customHeight="1">
      <c r="D2691" s="34" t="s">
        <v>126</v>
      </c>
      <c r="E2691">
        <v>2000</v>
      </c>
      <c r="F2691">
        <v>1</v>
      </c>
      <c r="H2691">
        <v>1</v>
      </c>
      <c r="J2691" t="s">
        <v>19</v>
      </c>
      <c r="K2691" t="s">
        <v>20</v>
      </c>
      <c r="L2691" t="s">
        <v>26</v>
      </c>
    </row>
    <row r="2692" spans="2:12" ht="15.75" customHeight="1">
      <c r="B2692" t="s">
        <v>99</v>
      </c>
      <c r="C2692" s="3" t="s">
        <v>100</v>
      </c>
      <c r="D2692" s="1" t="s">
        <v>126</v>
      </c>
      <c r="E2692">
        <v>2010</v>
      </c>
      <c r="F2692">
        <v>1</v>
      </c>
      <c r="G2692" s="32">
        <v>1</v>
      </c>
      <c r="H2692">
        <v>1</v>
      </c>
      <c r="J2692" t="s">
        <v>19</v>
      </c>
      <c r="K2692" t="s">
        <v>20</v>
      </c>
      <c r="L2692" t="s">
        <v>26</v>
      </c>
    </row>
    <row r="2693" spans="2:12" ht="15.75" customHeight="1">
      <c r="B2693" t="s">
        <v>99</v>
      </c>
      <c r="C2693" s="3" t="s">
        <v>100</v>
      </c>
      <c r="D2693" s="1" t="s">
        <v>126</v>
      </c>
      <c r="E2693">
        <v>2010</v>
      </c>
      <c r="F2693">
        <v>2</v>
      </c>
      <c r="G2693" s="32">
        <v>2</v>
      </c>
      <c r="H2693">
        <v>2</v>
      </c>
      <c r="J2693" t="s">
        <v>35</v>
      </c>
      <c r="K2693" t="s">
        <v>36</v>
      </c>
      <c r="L2693" t="s">
        <v>28</v>
      </c>
    </row>
    <row r="2694" spans="2:12" ht="15.75" customHeight="1">
      <c r="B2694" t="s">
        <v>99</v>
      </c>
      <c r="C2694" s="3" t="s">
        <v>100</v>
      </c>
      <c r="D2694" s="1" t="s">
        <v>126</v>
      </c>
      <c r="E2694">
        <v>2020</v>
      </c>
      <c r="F2694">
        <v>1</v>
      </c>
      <c r="G2694" s="32">
        <v>1</v>
      </c>
      <c r="H2694">
        <v>1</v>
      </c>
      <c r="J2694" t="s">
        <v>19</v>
      </c>
      <c r="K2694" t="s">
        <v>20</v>
      </c>
      <c r="L2694" t="s">
        <v>26</v>
      </c>
    </row>
    <row r="2695" spans="2:12" ht="15.75" customHeight="1">
      <c r="B2695" t="s">
        <v>99</v>
      </c>
      <c r="C2695" s="3" t="s">
        <v>100</v>
      </c>
      <c r="D2695" s="1" t="s">
        <v>126</v>
      </c>
      <c r="E2695">
        <v>2020</v>
      </c>
      <c r="F2695">
        <v>2</v>
      </c>
      <c r="G2695" s="32">
        <v>2</v>
      </c>
      <c r="H2695">
        <v>2</v>
      </c>
      <c r="J2695" t="s">
        <v>35</v>
      </c>
      <c r="K2695" t="s">
        <v>36</v>
      </c>
      <c r="L2695" t="s">
        <v>28</v>
      </c>
    </row>
    <row r="2696" spans="2:12" ht="15.75" customHeight="1">
      <c r="B2696" t="s">
        <v>99</v>
      </c>
      <c r="C2696" s="3" t="s">
        <v>100</v>
      </c>
      <c r="D2696" s="1" t="s">
        <v>126</v>
      </c>
      <c r="E2696">
        <v>2030</v>
      </c>
      <c r="F2696">
        <v>1</v>
      </c>
      <c r="G2696" s="32">
        <v>2</v>
      </c>
      <c r="H2696">
        <v>1</v>
      </c>
      <c r="J2696" t="s">
        <v>19</v>
      </c>
      <c r="K2696" t="s">
        <v>20</v>
      </c>
      <c r="L2696" t="s">
        <v>26</v>
      </c>
    </row>
    <row r="2697" spans="2:12" ht="15.75" customHeight="1">
      <c r="B2697" t="s">
        <v>99</v>
      </c>
      <c r="C2697" s="3" t="s">
        <v>100</v>
      </c>
      <c r="D2697" s="1" t="s">
        <v>126</v>
      </c>
      <c r="E2697">
        <v>2030</v>
      </c>
      <c r="F2697">
        <v>2</v>
      </c>
      <c r="G2697" s="32">
        <v>1</v>
      </c>
      <c r="H2697">
        <v>1</v>
      </c>
      <c r="J2697" t="s">
        <v>42</v>
      </c>
      <c r="K2697" t="s">
        <v>20</v>
      </c>
      <c r="L2697" t="s">
        <v>26</v>
      </c>
    </row>
    <row r="2698" spans="2:12" ht="15.75" customHeight="1">
      <c r="D2698" s="34" t="s">
        <v>126</v>
      </c>
      <c r="E2698">
        <v>2040</v>
      </c>
      <c r="F2698">
        <v>1</v>
      </c>
      <c r="H2698">
        <v>1</v>
      </c>
      <c r="J2698" t="s">
        <v>19</v>
      </c>
      <c r="K2698" t="s">
        <v>20</v>
      </c>
      <c r="L2698" t="s">
        <v>26</v>
      </c>
    </row>
    <row r="2699" spans="2:12" ht="15.75" customHeight="1">
      <c r="D2699" s="34" t="s">
        <v>126</v>
      </c>
      <c r="E2699">
        <v>2040</v>
      </c>
      <c r="F2699">
        <v>2</v>
      </c>
      <c r="H2699">
        <v>2</v>
      </c>
      <c r="J2699" t="s">
        <v>38</v>
      </c>
      <c r="K2699" t="s">
        <v>27</v>
      </c>
      <c r="L2699" t="s">
        <v>28</v>
      </c>
    </row>
    <row r="2700" spans="2:12" ht="15.75" customHeight="1">
      <c r="D2700" s="34" t="s">
        <v>126</v>
      </c>
      <c r="E2700">
        <v>2050</v>
      </c>
      <c r="F2700">
        <v>1</v>
      </c>
      <c r="H2700">
        <v>1</v>
      </c>
      <c r="J2700" t="s">
        <v>19</v>
      </c>
      <c r="K2700" t="s">
        <v>20</v>
      </c>
      <c r="L2700" t="s">
        <v>26</v>
      </c>
    </row>
    <row r="2701" spans="2:12" ht="15.75" customHeight="1">
      <c r="B2701" t="s">
        <v>99</v>
      </c>
      <c r="C2701" s="3" t="s">
        <v>100</v>
      </c>
      <c r="D2701" s="1" t="s">
        <v>126</v>
      </c>
      <c r="E2701">
        <v>2060</v>
      </c>
      <c r="F2701">
        <v>1</v>
      </c>
      <c r="G2701" s="32">
        <v>1</v>
      </c>
      <c r="H2701">
        <v>1</v>
      </c>
      <c r="J2701" t="s">
        <v>19</v>
      </c>
      <c r="K2701" t="s">
        <v>20</v>
      </c>
      <c r="L2701" t="s">
        <v>26</v>
      </c>
    </row>
    <row r="2702" spans="2:12" ht="15.75" customHeight="1">
      <c r="B2702" t="s">
        <v>99</v>
      </c>
      <c r="C2702" s="3" t="s">
        <v>100</v>
      </c>
      <c r="D2702" s="1" t="s">
        <v>126</v>
      </c>
      <c r="E2702">
        <v>2060</v>
      </c>
      <c r="F2702">
        <v>2</v>
      </c>
      <c r="G2702" s="32">
        <v>2</v>
      </c>
      <c r="H2702">
        <v>2</v>
      </c>
      <c r="J2702" t="s">
        <v>47</v>
      </c>
      <c r="K2702" t="s">
        <v>47</v>
      </c>
      <c r="L2702" t="s">
        <v>28</v>
      </c>
    </row>
    <row r="2703" spans="2:12" ht="15.75" customHeight="1">
      <c r="D2703" s="34" t="s">
        <v>126</v>
      </c>
      <c r="E2703">
        <v>2070</v>
      </c>
      <c r="F2703">
        <v>1</v>
      </c>
      <c r="H2703">
        <v>1</v>
      </c>
      <c r="J2703" t="s">
        <v>19</v>
      </c>
      <c r="K2703" t="s">
        <v>20</v>
      </c>
      <c r="L2703" t="s">
        <v>26</v>
      </c>
    </row>
    <row r="2704" spans="2:12" ht="15.75" customHeight="1">
      <c r="D2704" s="34" t="s">
        <v>126</v>
      </c>
      <c r="E2704">
        <v>2070</v>
      </c>
      <c r="F2704">
        <v>2</v>
      </c>
      <c r="H2704">
        <v>2</v>
      </c>
      <c r="J2704" t="s">
        <v>57</v>
      </c>
      <c r="K2704" t="s">
        <v>34</v>
      </c>
      <c r="L2704" t="s">
        <v>28</v>
      </c>
    </row>
    <row r="2705" spans="2:12" ht="15.75" customHeight="1">
      <c r="D2705" s="34" t="s">
        <v>126</v>
      </c>
      <c r="E2705">
        <v>2080</v>
      </c>
      <c r="F2705">
        <v>0</v>
      </c>
    </row>
    <row r="2706" spans="2:12" ht="15.75" customHeight="1">
      <c r="B2706" t="s">
        <v>99</v>
      </c>
      <c r="C2706" s="3" t="s">
        <v>100</v>
      </c>
      <c r="D2706" s="1" t="s">
        <v>126</v>
      </c>
      <c r="E2706">
        <v>2090</v>
      </c>
      <c r="F2706">
        <v>1</v>
      </c>
      <c r="G2706" s="32">
        <v>1</v>
      </c>
      <c r="H2706">
        <v>1</v>
      </c>
      <c r="J2706" t="s">
        <v>19</v>
      </c>
      <c r="K2706" t="s">
        <v>20</v>
      </c>
      <c r="L2706" t="s">
        <v>26</v>
      </c>
    </row>
    <row r="2707" spans="2:12" ht="15.75" customHeight="1">
      <c r="D2707" s="34" t="s">
        <v>126</v>
      </c>
      <c r="E2707">
        <v>2100</v>
      </c>
      <c r="F2707">
        <v>1</v>
      </c>
      <c r="H2707">
        <v>1</v>
      </c>
      <c r="J2707" t="s">
        <v>19</v>
      </c>
      <c r="K2707" t="s">
        <v>20</v>
      </c>
      <c r="L2707" t="s">
        <v>26</v>
      </c>
    </row>
    <row r="2708" spans="2:12" ht="15.75" customHeight="1">
      <c r="D2708" s="34" t="s">
        <v>126</v>
      </c>
      <c r="E2708">
        <v>2100</v>
      </c>
      <c r="F2708">
        <v>2</v>
      </c>
      <c r="H2708">
        <v>2</v>
      </c>
      <c r="J2708" t="s">
        <v>38</v>
      </c>
      <c r="K2708" t="s">
        <v>34</v>
      </c>
      <c r="L2708" t="s">
        <v>28</v>
      </c>
    </row>
    <row r="2709" spans="2:12" ht="15.75" customHeight="1">
      <c r="B2709" t="s">
        <v>99</v>
      </c>
      <c r="C2709" s="3" t="s">
        <v>100</v>
      </c>
      <c r="D2709" s="1" t="s">
        <v>126</v>
      </c>
      <c r="E2709">
        <v>2110</v>
      </c>
      <c r="F2709">
        <v>1</v>
      </c>
      <c r="G2709" s="32">
        <v>1</v>
      </c>
      <c r="H2709">
        <v>1</v>
      </c>
      <c r="J2709" t="s">
        <v>19</v>
      </c>
      <c r="K2709" t="s">
        <v>20</v>
      </c>
      <c r="L2709" t="s">
        <v>26</v>
      </c>
    </row>
    <row r="2710" spans="2:12" ht="15.75" customHeight="1">
      <c r="B2710" t="s">
        <v>99</v>
      </c>
      <c r="C2710" s="3" t="s">
        <v>100</v>
      </c>
      <c r="D2710" s="1" t="s">
        <v>126</v>
      </c>
      <c r="E2710">
        <v>2110</v>
      </c>
      <c r="F2710">
        <v>2</v>
      </c>
      <c r="G2710" s="32">
        <v>0</v>
      </c>
      <c r="H2710">
        <v>0</v>
      </c>
      <c r="J2710" t="s">
        <v>35</v>
      </c>
      <c r="L2710" t="s">
        <v>28</v>
      </c>
    </row>
    <row r="2711" spans="2:12" ht="15.75" customHeight="1">
      <c r="D2711" s="34" t="s">
        <v>126</v>
      </c>
      <c r="E2711">
        <v>2120</v>
      </c>
      <c r="F2711">
        <v>1</v>
      </c>
      <c r="H2711">
        <v>1</v>
      </c>
      <c r="J2711" t="s">
        <v>19</v>
      </c>
      <c r="K2711" t="s">
        <v>20</v>
      </c>
      <c r="L2711" t="s">
        <v>26</v>
      </c>
    </row>
    <row r="2712" spans="2:12" ht="15.75" customHeight="1">
      <c r="D2712" s="34" t="s">
        <v>126</v>
      </c>
      <c r="E2712">
        <v>2120</v>
      </c>
      <c r="F2712">
        <v>2</v>
      </c>
      <c r="H2712">
        <v>2</v>
      </c>
      <c r="J2712" t="s">
        <v>38</v>
      </c>
      <c r="K2712" t="s">
        <v>34</v>
      </c>
      <c r="L2712" t="s">
        <v>28</v>
      </c>
    </row>
    <row r="2713" spans="2:12" ht="15.75" customHeight="1">
      <c r="D2713" s="34" t="s">
        <v>126</v>
      </c>
      <c r="E2713">
        <v>2130</v>
      </c>
      <c r="F2713">
        <v>1</v>
      </c>
      <c r="H2713">
        <v>1</v>
      </c>
      <c r="J2713" t="s">
        <v>19</v>
      </c>
      <c r="K2713" t="s">
        <v>20</v>
      </c>
      <c r="L2713" t="s">
        <v>26</v>
      </c>
    </row>
    <row r="2714" spans="2:12" ht="15.75" customHeight="1">
      <c r="D2714" s="34" t="s">
        <v>126</v>
      </c>
      <c r="E2714">
        <v>2140</v>
      </c>
      <c r="F2714">
        <v>1</v>
      </c>
      <c r="H2714">
        <v>1</v>
      </c>
      <c r="J2714" t="s">
        <v>19</v>
      </c>
      <c r="K2714" t="s">
        <v>20</v>
      </c>
      <c r="L2714" t="s">
        <v>26</v>
      </c>
    </row>
    <row r="2715" spans="2:12" ht="15.75" customHeight="1">
      <c r="D2715" s="34" t="s">
        <v>126</v>
      </c>
      <c r="E2715">
        <v>2140</v>
      </c>
      <c r="F2715">
        <v>2</v>
      </c>
      <c r="H2715">
        <v>2</v>
      </c>
      <c r="J2715" t="s">
        <v>105</v>
      </c>
      <c r="K2715" t="s">
        <v>105</v>
      </c>
      <c r="L2715" t="s">
        <v>28</v>
      </c>
    </row>
    <row r="2716" spans="2:12" ht="15.75" customHeight="1">
      <c r="D2716" s="34" t="s">
        <v>126</v>
      </c>
      <c r="E2716">
        <v>2150</v>
      </c>
      <c r="F2716">
        <v>1</v>
      </c>
      <c r="H2716">
        <v>1</v>
      </c>
      <c r="J2716" t="s">
        <v>19</v>
      </c>
      <c r="K2716" t="s">
        <v>20</v>
      </c>
      <c r="L2716" t="s">
        <v>26</v>
      </c>
    </row>
    <row r="2717" spans="2:12" ht="15.75" customHeight="1">
      <c r="D2717" s="34" t="s">
        <v>126</v>
      </c>
      <c r="E2717">
        <v>2150</v>
      </c>
      <c r="F2717">
        <v>2</v>
      </c>
      <c r="H2717">
        <v>2</v>
      </c>
      <c r="J2717" t="s">
        <v>105</v>
      </c>
      <c r="K2717" t="s">
        <v>105</v>
      </c>
      <c r="L2717" t="s">
        <v>28</v>
      </c>
    </row>
    <row r="2718" spans="2:12" ht="15.75" customHeight="1">
      <c r="D2718" s="34" t="s">
        <v>126</v>
      </c>
      <c r="E2718">
        <v>2160</v>
      </c>
      <c r="F2718">
        <v>1</v>
      </c>
      <c r="H2718">
        <v>1</v>
      </c>
      <c r="J2718" t="s">
        <v>19</v>
      </c>
      <c r="K2718" t="s">
        <v>20</v>
      </c>
      <c r="L2718" t="s">
        <v>26</v>
      </c>
    </row>
    <row r="2719" spans="2:12" ht="15.75" customHeight="1">
      <c r="D2719" s="34" t="s">
        <v>126</v>
      </c>
      <c r="E2719">
        <v>2170</v>
      </c>
      <c r="F2719">
        <v>1</v>
      </c>
      <c r="H2719">
        <v>1</v>
      </c>
      <c r="J2719" t="s">
        <v>19</v>
      </c>
      <c r="K2719" t="s">
        <v>20</v>
      </c>
      <c r="L2719" t="s">
        <v>26</v>
      </c>
    </row>
    <row r="2720" spans="2:12" ht="15.75" customHeight="1">
      <c r="D2720" s="34" t="s">
        <v>126</v>
      </c>
      <c r="E2720">
        <v>2180</v>
      </c>
      <c r="F2720">
        <v>1</v>
      </c>
      <c r="H2720">
        <v>1</v>
      </c>
      <c r="J2720" t="s">
        <v>19</v>
      </c>
      <c r="K2720" t="s">
        <v>20</v>
      </c>
      <c r="L2720" t="s">
        <v>26</v>
      </c>
    </row>
    <row r="2721" spans="2:12" ht="15.75" customHeight="1">
      <c r="D2721" s="34" t="s">
        <v>126</v>
      </c>
      <c r="E2721">
        <v>2190</v>
      </c>
      <c r="F2721">
        <v>1</v>
      </c>
      <c r="H2721">
        <v>2</v>
      </c>
      <c r="J2721" t="s">
        <v>30</v>
      </c>
      <c r="K2721" t="s">
        <v>34</v>
      </c>
      <c r="L2721" t="s">
        <v>28</v>
      </c>
    </row>
    <row r="2722" spans="2:12" ht="15.75" customHeight="1">
      <c r="B2722" t="s">
        <v>99</v>
      </c>
      <c r="C2722" s="3" t="s">
        <v>100</v>
      </c>
      <c r="D2722" s="1" t="s">
        <v>126</v>
      </c>
      <c r="E2722">
        <v>2200</v>
      </c>
      <c r="F2722">
        <v>1</v>
      </c>
      <c r="G2722" s="32">
        <v>1</v>
      </c>
      <c r="H2722">
        <v>2</v>
      </c>
      <c r="J2722" s="12" t="s">
        <v>132</v>
      </c>
      <c r="K2722" t="s">
        <v>37</v>
      </c>
      <c r="L2722" t="s">
        <v>28</v>
      </c>
    </row>
    <row r="2723" spans="2:12" ht="15.75" customHeight="1">
      <c r="D2723" s="34" t="s">
        <v>126</v>
      </c>
      <c r="E2723">
        <v>2210</v>
      </c>
      <c r="F2723">
        <v>1</v>
      </c>
      <c r="H2723">
        <v>1</v>
      </c>
      <c r="J2723" t="s">
        <v>19</v>
      </c>
      <c r="K2723" t="s">
        <v>20</v>
      </c>
      <c r="L2723" t="s">
        <v>26</v>
      </c>
    </row>
    <row r="2724" spans="2:12" ht="15.75" customHeight="1">
      <c r="D2724" s="34" t="s">
        <v>126</v>
      </c>
      <c r="E2724">
        <v>2220</v>
      </c>
      <c r="I2724" t="s">
        <v>56</v>
      </c>
    </row>
    <row r="2725" spans="2:12" ht="15.75" customHeight="1">
      <c r="D2725" s="34" t="s">
        <v>126</v>
      </c>
      <c r="E2725">
        <v>2230</v>
      </c>
      <c r="I2725" t="s">
        <v>56</v>
      </c>
    </row>
    <row r="2726" spans="2:12" ht="15.75" customHeight="1">
      <c r="B2726" t="s">
        <v>99</v>
      </c>
      <c r="C2726" s="3" t="s">
        <v>100</v>
      </c>
      <c r="D2726" s="1" t="s">
        <v>126</v>
      </c>
      <c r="E2726">
        <v>2240</v>
      </c>
      <c r="F2726">
        <v>1</v>
      </c>
      <c r="G2726" s="32">
        <v>1</v>
      </c>
      <c r="H2726">
        <v>1</v>
      </c>
      <c r="J2726" t="s">
        <v>19</v>
      </c>
      <c r="K2726" t="s">
        <v>20</v>
      </c>
      <c r="L2726" t="s">
        <v>26</v>
      </c>
    </row>
    <row r="2727" spans="2:12" ht="15.75" customHeight="1">
      <c r="B2727" t="s">
        <v>99</v>
      </c>
      <c r="C2727" s="3" t="s">
        <v>100</v>
      </c>
      <c r="D2727" s="1" t="s">
        <v>126</v>
      </c>
      <c r="E2727">
        <v>2240</v>
      </c>
      <c r="F2727">
        <v>2</v>
      </c>
      <c r="G2727" s="32">
        <v>0</v>
      </c>
      <c r="H2727">
        <v>0</v>
      </c>
      <c r="J2727" t="s">
        <v>42</v>
      </c>
      <c r="L2727" t="s">
        <v>26</v>
      </c>
    </row>
    <row r="2728" spans="2:12" ht="15.75" customHeight="1">
      <c r="B2728" t="s">
        <v>99</v>
      </c>
      <c r="C2728" s="3" t="s">
        <v>100</v>
      </c>
      <c r="D2728" s="1" t="s">
        <v>126</v>
      </c>
      <c r="E2728">
        <v>2240</v>
      </c>
      <c r="F2728">
        <v>3</v>
      </c>
      <c r="G2728" s="32">
        <v>0</v>
      </c>
      <c r="H2728">
        <v>0</v>
      </c>
      <c r="J2728" t="s">
        <v>47</v>
      </c>
      <c r="K2728" t="s">
        <v>47</v>
      </c>
      <c r="L2728" t="s">
        <v>28</v>
      </c>
    </row>
    <row r="2729" spans="2:12" ht="15.75" customHeight="1">
      <c r="B2729" t="s">
        <v>99</v>
      </c>
      <c r="C2729" s="3" t="s">
        <v>100</v>
      </c>
      <c r="D2729" s="1" t="s">
        <v>126</v>
      </c>
      <c r="E2729">
        <v>2250</v>
      </c>
      <c r="F2729">
        <v>1</v>
      </c>
      <c r="G2729" s="32">
        <v>1</v>
      </c>
      <c r="H2729">
        <v>1</v>
      </c>
      <c r="J2729" t="s">
        <v>19</v>
      </c>
      <c r="K2729" t="s">
        <v>20</v>
      </c>
      <c r="L2729" t="s">
        <v>26</v>
      </c>
    </row>
    <row r="2730" spans="2:12" ht="15.75" customHeight="1">
      <c r="B2730" t="s">
        <v>99</v>
      </c>
      <c r="C2730" s="3" t="s">
        <v>100</v>
      </c>
      <c r="D2730" s="1" t="s">
        <v>126</v>
      </c>
      <c r="E2730">
        <v>2250</v>
      </c>
      <c r="F2730">
        <v>2</v>
      </c>
      <c r="G2730" s="32">
        <v>2</v>
      </c>
      <c r="H2730">
        <v>1</v>
      </c>
      <c r="J2730" t="s">
        <v>42</v>
      </c>
      <c r="K2730" t="s">
        <v>20</v>
      </c>
      <c r="L2730" t="s">
        <v>26</v>
      </c>
    </row>
    <row r="2731" spans="2:12" ht="15.75" customHeight="1">
      <c r="B2731" t="s">
        <v>99</v>
      </c>
      <c r="C2731" s="3" t="s">
        <v>100</v>
      </c>
      <c r="D2731" s="1" t="s">
        <v>126</v>
      </c>
      <c r="E2731">
        <v>2250</v>
      </c>
      <c r="F2731">
        <v>3</v>
      </c>
      <c r="G2731" s="32">
        <v>0</v>
      </c>
      <c r="H2731">
        <v>0</v>
      </c>
      <c r="J2731" t="s">
        <v>47</v>
      </c>
      <c r="L2731" t="s">
        <v>28</v>
      </c>
    </row>
    <row r="2732" spans="2:12" ht="15.75" customHeight="1">
      <c r="B2732" t="s">
        <v>99</v>
      </c>
      <c r="C2732" s="3" t="s">
        <v>100</v>
      </c>
      <c r="D2732" s="1" t="s">
        <v>126</v>
      </c>
      <c r="E2732">
        <v>2260</v>
      </c>
      <c r="F2732">
        <v>1</v>
      </c>
      <c r="G2732" s="32">
        <v>2</v>
      </c>
      <c r="H2732">
        <v>1</v>
      </c>
      <c r="J2732" t="s">
        <v>19</v>
      </c>
      <c r="K2732" t="s">
        <v>20</v>
      </c>
      <c r="L2732" t="s">
        <v>26</v>
      </c>
    </row>
    <row r="2733" spans="2:12" ht="15.75" customHeight="1">
      <c r="B2733" t="s">
        <v>99</v>
      </c>
      <c r="C2733" s="3" t="s">
        <v>100</v>
      </c>
      <c r="D2733" s="1" t="s">
        <v>126</v>
      </c>
      <c r="E2733">
        <v>2260</v>
      </c>
      <c r="F2733">
        <v>2</v>
      </c>
      <c r="G2733" s="32">
        <v>1</v>
      </c>
      <c r="H2733">
        <v>1</v>
      </c>
      <c r="J2733" t="s">
        <v>42</v>
      </c>
      <c r="K2733" t="s">
        <v>20</v>
      </c>
      <c r="L2733" t="s">
        <v>26</v>
      </c>
    </row>
    <row r="2734" spans="2:12" ht="15.75" customHeight="1">
      <c r="B2734" t="s">
        <v>99</v>
      </c>
      <c r="C2734" s="3" t="s">
        <v>100</v>
      </c>
      <c r="D2734" s="1" t="s">
        <v>126</v>
      </c>
      <c r="E2734">
        <v>2260</v>
      </c>
      <c r="F2734">
        <v>3</v>
      </c>
      <c r="G2734" s="32">
        <v>0</v>
      </c>
      <c r="H2734">
        <v>0</v>
      </c>
      <c r="J2734" t="s">
        <v>52</v>
      </c>
      <c r="L2734" t="s">
        <v>28</v>
      </c>
    </row>
    <row r="2735" spans="2:12" ht="15.75" customHeight="1">
      <c r="B2735" t="s">
        <v>99</v>
      </c>
      <c r="C2735" s="3" t="s">
        <v>100</v>
      </c>
      <c r="D2735" s="1" t="s">
        <v>126</v>
      </c>
      <c r="E2735">
        <v>2270</v>
      </c>
      <c r="F2735">
        <v>1</v>
      </c>
      <c r="G2735" s="32">
        <v>1</v>
      </c>
      <c r="H2735">
        <v>1</v>
      </c>
      <c r="J2735" t="s">
        <v>19</v>
      </c>
      <c r="K2735" t="s">
        <v>20</v>
      </c>
      <c r="L2735" t="s">
        <v>26</v>
      </c>
    </row>
    <row r="2736" spans="2:12" ht="15.75" customHeight="1">
      <c r="B2736" t="s">
        <v>99</v>
      </c>
      <c r="C2736" s="3" t="s">
        <v>100</v>
      </c>
      <c r="D2736" s="1" t="s">
        <v>126</v>
      </c>
      <c r="E2736">
        <v>2280</v>
      </c>
      <c r="F2736">
        <v>1</v>
      </c>
      <c r="G2736" s="32">
        <v>1</v>
      </c>
      <c r="H2736">
        <v>1</v>
      </c>
      <c r="J2736" t="s">
        <v>19</v>
      </c>
      <c r="K2736" t="s">
        <v>20</v>
      </c>
      <c r="L2736" t="s">
        <v>26</v>
      </c>
    </row>
    <row r="2737" spans="2:12" ht="15.75" customHeight="1">
      <c r="B2737" t="s">
        <v>99</v>
      </c>
      <c r="C2737" s="3" t="s">
        <v>100</v>
      </c>
      <c r="D2737" s="1" t="s">
        <v>126</v>
      </c>
      <c r="E2737">
        <v>2280</v>
      </c>
      <c r="F2737">
        <v>2</v>
      </c>
      <c r="G2737" s="32">
        <v>1</v>
      </c>
      <c r="H2737">
        <v>2</v>
      </c>
      <c r="J2737" t="s">
        <v>52</v>
      </c>
      <c r="K2737" t="s">
        <v>33</v>
      </c>
      <c r="L2737" t="s">
        <v>28</v>
      </c>
    </row>
    <row r="2738" spans="2:12" ht="15.75" customHeight="1">
      <c r="B2738" t="s">
        <v>99</v>
      </c>
      <c r="C2738" s="3" t="s">
        <v>100</v>
      </c>
      <c r="D2738" s="1" t="s">
        <v>126</v>
      </c>
      <c r="E2738">
        <v>2290</v>
      </c>
      <c r="F2738">
        <v>1</v>
      </c>
      <c r="G2738" s="32">
        <v>1</v>
      </c>
      <c r="H2738">
        <v>1</v>
      </c>
      <c r="J2738" t="s">
        <v>19</v>
      </c>
      <c r="K2738" t="s">
        <v>20</v>
      </c>
      <c r="L2738" t="s">
        <v>26</v>
      </c>
    </row>
    <row r="2739" spans="2:12" ht="15.75" customHeight="1">
      <c r="B2739" t="s">
        <v>99</v>
      </c>
      <c r="C2739" s="3" t="s">
        <v>100</v>
      </c>
      <c r="D2739" s="1" t="s">
        <v>126</v>
      </c>
      <c r="E2739">
        <v>2290</v>
      </c>
      <c r="F2739">
        <v>2</v>
      </c>
      <c r="G2739" s="32">
        <v>2</v>
      </c>
      <c r="H2739">
        <v>2</v>
      </c>
      <c r="J2739" t="s">
        <v>52</v>
      </c>
      <c r="K2739" t="s">
        <v>37</v>
      </c>
      <c r="L2739" t="s">
        <v>28</v>
      </c>
    </row>
    <row r="2740" spans="2:12" ht="15.75" customHeight="1">
      <c r="B2740" t="s">
        <v>99</v>
      </c>
      <c r="C2740" s="3" t="s">
        <v>100</v>
      </c>
      <c r="D2740" s="1" t="s">
        <v>126</v>
      </c>
      <c r="E2740">
        <v>2300</v>
      </c>
      <c r="F2740">
        <v>1</v>
      </c>
      <c r="G2740" s="32">
        <v>1</v>
      </c>
      <c r="H2740">
        <v>1</v>
      </c>
      <c r="J2740" t="s">
        <v>19</v>
      </c>
      <c r="K2740" t="s">
        <v>20</v>
      </c>
      <c r="L2740" t="s">
        <v>26</v>
      </c>
    </row>
    <row r="2741" spans="2:12" ht="15.75" customHeight="1">
      <c r="B2741" t="s">
        <v>99</v>
      </c>
      <c r="C2741" s="3" t="s">
        <v>100</v>
      </c>
      <c r="D2741" s="1" t="s">
        <v>126</v>
      </c>
      <c r="E2741">
        <v>2300</v>
      </c>
      <c r="F2741">
        <v>2</v>
      </c>
      <c r="G2741" s="32">
        <v>3</v>
      </c>
      <c r="H2741">
        <v>0</v>
      </c>
      <c r="J2741" s="12" t="s">
        <v>46</v>
      </c>
      <c r="K2741" s="12"/>
    </row>
    <row r="2742" spans="2:12" ht="15.75" customHeight="1">
      <c r="D2742" s="34" t="s">
        <v>126</v>
      </c>
      <c r="E2742">
        <v>2310</v>
      </c>
      <c r="F2742">
        <v>1</v>
      </c>
      <c r="H2742">
        <v>0</v>
      </c>
      <c r="J2742" t="s">
        <v>57</v>
      </c>
      <c r="L2742" t="s">
        <v>28</v>
      </c>
    </row>
    <row r="2743" spans="2:12" ht="15.75" customHeight="1">
      <c r="B2743" t="s">
        <v>99</v>
      </c>
      <c r="C2743" s="3" t="s">
        <v>100</v>
      </c>
      <c r="D2743" s="1" t="s">
        <v>126</v>
      </c>
      <c r="E2743">
        <v>2320</v>
      </c>
      <c r="F2743">
        <v>1</v>
      </c>
      <c r="G2743" s="32">
        <v>2</v>
      </c>
      <c r="H2743">
        <v>1</v>
      </c>
      <c r="J2743" t="s">
        <v>19</v>
      </c>
      <c r="K2743" t="s">
        <v>20</v>
      </c>
      <c r="L2743" t="s">
        <v>26</v>
      </c>
    </row>
    <row r="2744" spans="2:12" ht="15.75" customHeight="1">
      <c r="B2744" t="s">
        <v>99</v>
      </c>
      <c r="C2744" s="3" t="s">
        <v>100</v>
      </c>
      <c r="D2744" s="1" t="s">
        <v>126</v>
      </c>
      <c r="E2744">
        <v>2320</v>
      </c>
      <c r="F2744">
        <v>2</v>
      </c>
      <c r="G2744" s="32">
        <v>1</v>
      </c>
      <c r="H2744">
        <v>1</v>
      </c>
      <c r="J2744" t="s">
        <v>42</v>
      </c>
      <c r="K2744" t="s">
        <v>20</v>
      </c>
      <c r="L2744" t="s">
        <v>26</v>
      </c>
    </row>
    <row r="2745" spans="2:12" ht="15.75" customHeight="1">
      <c r="B2745" t="s">
        <v>99</v>
      </c>
      <c r="C2745" s="3" t="s">
        <v>100</v>
      </c>
      <c r="D2745" s="1" t="s">
        <v>126</v>
      </c>
      <c r="E2745">
        <v>2320</v>
      </c>
      <c r="F2745">
        <v>3</v>
      </c>
      <c r="G2745" s="32">
        <v>2</v>
      </c>
      <c r="H2745">
        <v>2</v>
      </c>
      <c r="J2745" t="s">
        <v>52</v>
      </c>
      <c r="K2745" t="s">
        <v>33</v>
      </c>
      <c r="L2745" t="s">
        <v>28</v>
      </c>
    </row>
    <row r="2746" spans="2:12" ht="15.75" customHeight="1">
      <c r="B2746" t="s">
        <v>99</v>
      </c>
      <c r="C2746" s="3" t="s">
        <v>100</v>
      </c>
      <c r="D2746" s="1" t="s">
        <v>126</v>
      </c>
      <c r="E2746">
        <v>2330</v>
      </c>
      <c r="F2746">
        <v>1</v>
      </c>
      <c r="G2746" s="32">
        <v>1</v>
      </c>
      <c r="H2746">
        <v>1</v>
      </c>
      <c r="J2746" t="s">
        <v>19</v>
      </c>
      <c r="K2746" t="s">
        <v>20</v>
      </c>
      <c r="L2746" t="s">
        <v>26</v>
      </c>
    </row>
    <row r="2747" spans="2:12" ht="15.75" customHeight="1">
      <c r="B2747" t="s">
        <v>99</v>
      </c>
      <c r="C2747" s="3" t="s">
        <v>100</v>
      </c>
      <c r="D2747" s="1" t="s">
        <v>126</v>
      </c>
      <c r="E2747">
        <v>2330</v>
      </c>
      <c r="F2747">
        <v>2</v>
      </c>
      <c r="G2747" s="32">
        <v>2</v>
      </c>
      <c r="H2747">
        <v>2</v>
      </c>
      <c r="J2747" t="s">
        <v>47</v>
      </c>
      <c r="K2747" t="s">
        <v>36</v>
      </c>
      <c r="L2747" t="s">
        <v>28</v>
      </c>
    </row>
    <row r="2748" spans="2:12" ht="15.75" customHeight="1">
      <c r="B2748" t="s">
        <v>99</v>
      </c>
      <c r="C2748" s="3" t="s">
        <v>100</v>
      </c>
      <c r="D2748" s="1" t="s">
        <v>126</v>
      </c>
      <c r="E2748">
        <v>2340</v>
      </c>
      <c r="F2748">
        <v>1</v>
      </c>
      <c r="G2748" s="32">
        <v>1</v>
      </c>
      <c r="H2748">
        <v>1</v>
      </c>
      <c r="J2748" t="s">
        <v>19</v>
      </c>
      <c r="K2748" t="s">
        <v>20</v>
      </c>
      <c r="L2748" t="s">
        <v>26</v>
      </c>
    </row>
    <row r="2749" spans="2:12" ht="15.75" customHeight="1">
      <c r="B2749" t="s">
        <v>99</v>
      </c>
      <c r="C2749" s="3" t="s">
        <v>100</v>
      </c>
      <c r="D2749" s="1" t="s">
        <v>126</v>
      </c>
      <c r="E2749">
        <v>2340</v>
      </c>
      <c r="F2749">
        <v>2</v>
      </c>
      <c r="G2749" s="32">
        <v>2</v>
      </c>
      <c r="H2749">
        <v>2</v>
      </c>
      <c r="J2749" t="s">
        <v>47</v>
      </c>
      <c r="K2749" t="s">
        <v>47</v>
      </c>
      <c r="L2749" t="s">
        <v>28</v>
      </c>
    </row>
    <row r="2750" spans="2:12" ht="15.75" customHeight="1">
      <c r="D2750" s="34" t="s">
        <v>126</v>
      </c>
      <c r="E2750">
        <v>2350</v>
      </c>
      <c r="F2750">
        <v>1</v>
      </c>
      <c r="H2750">
        <v>1</v>
      </c>
      <c r="J2750" t="s">
        <v>19</v>
      </c>
      <c r="K2750" t="s">
        <v>20</v>
      </c>
      <c r="L2750" t="s">
        <v>26</v>
      </c>
    </row>
    <row r="2751" spans="2:12" ht="15.75" customHeight="1">
      <c r="D2751" s="34" t="s">
        <v>126</v>
      </c>
      <c r="E2751">
        <v>2350</v>
      </c>
      <c r="F2751">
        <v>2</v>
      </c>
      <c r="H2751">
        <v>0</v>
      </c>
      <c r="J2751" t="s">
        <v>57</v>
      </c>
      <c r="L2751" t="s">
        <v>28</v>
      </c>
    </row>
    <row r="2752" spans="2:12" ht="15.75" customHeight="1">
      <c r="B2752" t="s">
        <v>99</v>
      </c>
      <c r="C2752" s="3" t="s">
        <v>100</v>
      </c>
      <c r="D2752" s="1" t="s">
        <v>126</v>
      </c>
      <c r="E2752">
        <v>2360</v>
      </c>
      <c r="F2752">
        <v>1</v>
      </c>
      <c r="G2752" s="32">
        <v>1</v>
      </c>
      <c r="H2752">
        <v>1</v>
      </c>
      <c r="J2752" t="s">
        <v>19</v>
      </c>
      <c r="K2752" t="s">
        <v>20</v>
      </c>
      <c r="L2752" t="s">
        <v>26</v>
      </c>
    </row>
    <row r="2753" spans="2:12" ht="15.75" customHeight="1">
      <c r="B2753" t="s">
        <v>99</v>
      </c>
      <c r="C2753" s="3" t="s">
        <v>100</v>
      </c>
      <c r="D2753" s="1" t="s">
        <v>126</v>
      </c>
      <c r="E2753">
        <v>2360</v>
      </c>
      <c r="F2753">
        <v>2</v>
      </c>
      <c r="G2753" s="32">
        <v>2</v>
      </c>
      <c r="H2753">
        <v>1</v>
      </c>
      <c r="J2753" t="s">
        <v>42</v>
      </c>
      <c r="K2753" t="s">
        <v>20</v>
      </c>
      <c r="L2753" t="s">
        <v>26</v>
      </c>
    </row>
    <row r="2754" spans="2:12" ht="15.75" customHeight="1">
      <c r="D2754" s="34" t="s">
        <v>126</v>
      </c>
      <c r="E2754">
        <v>2370</v>
      </c>
      <c r="F2754">
        <v>1</v>
      </c>
      <c r="H2754">
        <v>1</v>
      </c>
      <c r="J2754" t="s">
        <v>19</v>
      </c>
      <c r="K2754" t="s">
        <v>20</v>
      </c>
      <c r="L2754" t="s">
        <v>26</v>
      </c>
    </row>
    <row r="2755" spans="2:12" ht="15.75" customHeight="1">
      <c r="D2755" s="34" t="s">
        <v>126</v>
      </c>
      <c r="E2755">
        <v>2370</v>
      </c>
      <c r="F2755">
        <v>2</v>
      </c>
      <c r="H2755">
        <v>0</v>
      </c>
      <c r="J2755" t="s">
        <v>42</v>
      </c>
      <c r="L2755" t="s">
        <v>28</v>
      </c>
    </row>
    <row r="2756" spans="2:12" ht="15.75" customHeight="1">
      <c r="B2756" t="s">
        <v>99</v>
      </c>
      <c r="C2756" s="3" t="s">
        <v>100</v>
      </c>
      <c r="D2756" s="1" t="s">
        <v>126</v>
      </c>
      <c r="E2756">
        <v>2380</v>
      </c>
      <c r="F2756">
        <v>1</v>
      </c>
      <c r="G2756" s="32">
        <v>1</v>
      </c>
      <c r="H2756">
        <v>1</v>
      </c>
      <c r="J2756" t="s">
        <v>19</v>
      </c>
      <c r="K2756" t="s">
        <v>20</v>
      </c>
      <c r="L2756" t="s">
        <v>26</v>
      </c>
    </row>
    <row r="2757" spans="2:12" ht="15.75" customHeight="1">
      <c r="B2757" t="s">
        <v>99</v>
      </c>
      <c r="C2757" s="3" t="s">
        <v>100</v>
      </c>
      <c r="D2757" s="1" t="s">
        <v>126</v>
      </c>
      <c r="E2757">
        <v>2380</v>
      </c>
      <c r="F2757">
        <v>2</v>
      </c>
      <c r="G2757" s="32">
        <v>2</v>
      </c>
      <c r="H2757">
        <v>1</v>
      </c>
      <c r="J2757" t="s">
        <v>42</v>
      </c>
      <c r="K2757" t="s">
        <v>20</v>
      </c>
      <c r="L2757" t="s">
        <v>26</v>
      </c>
    </row>
    <row r="2758" spans="2:12" ht="15.75" customHeight="1">
      <c r="B2758" t="s">
        <v>99</v>
      </c>
      <c r="C2758" s="3" t="s">
        <v>100</v>
      </c>
      <c r="D2758" s="1" t="s">
        <v>126</v>
      </c>
      <c r="E2758">
        <v>2390</v>
      </c>
      <c r="F2758">
        <v>1</v>
      </c>
      <c r="G2758" s="32">
        <v>1</v>
      </c>
      <c r="H2758">
        <v>1</v>
      </c>
      <c r="J2758" t="s">
        <v>19</v>
      </c>
      <c r="K2758" t="s">
        <v>20</v>
      </c>
      <c r="L2758" t="s">
        <v>26</v>
      </c>
    </row>
    <row r="2759" spans="2:12" ht="15.75" customHeight="1">
      <c r="B2759" t="s">
        <v>99</v>
      </c>
      <c r="C2759" s="3" t="s">
        <v>100</v>
      </c>
      <c r="D2759" s="1" t="s">
        <v>126</v>
      </c>
      <c r="E2759">
        <v>2390</v>
      </c>
      <c r="F2759">
        <v>2</v>
      </c>
      <c r="G2759" s="32">
        <v>2</v>
      </c>
      <c r="H2759">
        <v>2</v>
      </c>
      <c r="J2759" t="s">
        <v>35</v>
      </c>
      <c r="K2759" t="s">
        <v>36</v>
      </c>
      <c r="L2759" t="s">
        <v>28</v>
      </c>
    </row>
    <row r="2760" spans="2:12" ht="15.75" customHeight="1">
      <c r="D2760" s="34" t="s">
        <v>126</v>
      </c>
      <c r="E2760">
        <v>2400</v>
      </c>
      <c r="F2760">
        <v>0</v>
      </c>
    </row>
    <row r="2761" spans="2:12" ht="15.75" customHeight="1">
      <c r="B2761" t="s">
        <v>99</v>
      </c>
      <c r="C2761" s="3" t="s">
        <v>100</v>
      </c>
      <c r="D2761" s="1" t="s">
        <v>126</v>
      </c>
      <c r="E2761">
        <v>2410</v>
      </c>
      <c r="F2761">
        <v>1</v>
      </c>
      <c r="G2761" s="32">
        <v>1</v>
      </c>
      <c r="H2761">
        <v>1</v>
      </c>
      <c r="J2761" t="s">
        <v>19</v>
      </c>
      <c r="K2761" t="s">
        <v>20</v>
      </c>
      <c r="L2761" t="s">
        <v>26</v>
      </c>
    </row>
    <row r="2762" spans="2:12" ht="15.75" customHeight="1">
      <c r="B2762" t="s">
        <v>99</v>
      </c>
      <c r="C2762" s="3" t="s">
        <v>100</v>
      </c>
      <c r="D2762" s="1" t="s">
        <v>126</v>
      </c>
      <c r="E2762">
        <v>2410</v>
      </c>
      <c r="F2762">
        <v>2</v>
      </c>
      <c r="G2762" s="32">
        <v>3</v>
      </c>
      <c r="H2762">
        <v>0</v>
      </c>
      <c r="J2762" s="12" t="s">
        <v>46</v>
      </c>
      <c r="K2762" s="12"/>
    </row>
    <row r="2763" spans="2:12" ht="15.75" customHeight="1">
      <c r="B2763" t="s">
        <v>99</v>
      </c>
      <c r="C2763" s="3" t="s">
        <v>100</v>
      </c>
      <c r="D2763" s="1" t="s">
        <v>126</v>
      </c>
      <c r="E2763">
        <v>2420</v>
      </c>
      <c r="F2763">
        <v>1</v>
      </c>
      <c r="G2763" s="32">
        <v>1</v>
      </c>
      <c r="H2763">
        <v>1</v>
      </c>
      <c r="J2763" t="s">
        <v>19</v>
      </c>
      <c r="K2763" t="s">
        <v>20</v>
      </c>
      <c r="L2763" t="s">
        <v>26</v>
      </c>
    </row>
    <row r="2764" spans="2:12" ht="15.75" customHeight="1">
      <c r="B2764" t="s">
        <v>99</v>
      </c>
      <c r="C2764" s="3" t="s">
        <v>100</v>
      </c>
      <c r="D2764" s="1" t="s">
        <v>126</v>
      </c>
      <c r="E2764">
        <v>2420</v>
      </c>
      <c r="F2764">
        <v>2</v>
      </c>
      <c r="G2764" s="32">
        <v>1</v>
      </c>
      <c r="H2764">
        <v>1</v>
      </c>
      <c r="J2764" t="s">
        <v>42</v>
      </c>
      <c r="K2764" t="s">
        <v>33</v>
      </c>
      <c r="L2764" t="s">
        <v>26</v>
      </c>
    </row>
    <row r="2765" spans="2:12" ht="15.75" customHeight="1">
      <c r="B2765" t="s">
        <v>99</v>
      </c>
      <c r="C2765" s="3" t="s">
        <v>100</v>
      </c>
      <c r="D2765" s="1" t="s">
        <v>126</v>
      </c>
      <c r="E2765">
        <v>2420</v>
      </c>
      <c r="F2765">
        <v>3</v>
      </c>
      <c r="G2765" s="32">
        <v>2</v>
      </c>
      <c r="H2765">
        <v>1</v>
      </c>
      <c r="J2765" t="s">
        <v>101</v>
      </c>
      <c r="K2765" t="s">
        <v>36</v>
      </c>
      <c r="L2765" t="s">
        <v>28</v>
      </c>
    </row>
    <row r="2766" spans="2:12" ht="15.75" customHeight="1">
      <c r="D2766" s="34" t="s">
        <v>126</v>
      </c>
      <c r="E2766">
        <v>2430</v>
      </c>
      <c r="F2766">
        <v>1</v>
      </c>
      <c r="H2766">
        <v>0</v>
      </c>
      <c r="J2766" t="s">
        <v>19</v>
      </c>
      <c r="L2766" t="s">
        <v>28</v>
      </c>
    </row>
    <row r="2767" spans="2:12" ht="15.75" customHeight="1">
      <c r="D2767" s="34" t="s">
        <v>126</v>
      </c>
      <c r="E2767">
        <v>2430</v>
      </c>
      <c r="F2767">
        <v>2</v>
      </c>
      <c r="H2767">
        <v>2</v>
      </c>
      <c r="J2767" t="s">
        <v>103</v>
      </c>
      <c r="K2767" t="s">
        <v>27</v>
      </c>
      <c r="L2767" t="s">
        <v>28</v>
      </c>
    </row>
    <row r="2768" spans="2:12" ht="15.75" customHeight="1">
      <c r="B2768" t="s">
        <v>99</v>
      </c>
      <c r="C2768" s="3" t="s">
        <v>100</v>
      </c>
      <c r="D2768" s="1" t="s">
        <v>126</v>
      </c>
      <c r="E2768">
        <v>2440</v>
      </c>
      <c r="F2768">
        <v>1</v>
      </c>
      <c r="G2768" s="32">
        <v>1</v>
      </c>
      <c r="H2768">
        <v>1</v>
      </c>
      <c r="J2768" t="s">
        <v>101</v>
      </c>
      <c r="K2768" t="s">
        <v>36</v>
      </c>
      <c r="L2768" t="s">
        <v>28</v>
      </c>
    </row>
    <row r="2769" spans="2:12" ht="15.75" customHeight="1">
      <c r="B2769" t="s">
        <v>99</v>
      </c>
      <c r="C2769" s="3" t="s">
        <v>100</v>
      </c>
      <c r="D2769" s="1" t="s">
        <v>126</v>
      </c>
      <c r="E2769">
        <v>2440</v>
      </c>
      <c r="F2769">
        <v>2</v>
      </c>
      <c r="G2769" s="32">
        <v>2</v>
      </c>
      <c r="H2769">
        <v>1</v>
      </c>
      <c r="J2769" t="s">
        <v>19</v>
      </c>
      <c r="K2769" t="s">
        <v>33</v>
      </c>
      <c r="L2769" t="s">
        <v>26</v>
      </c>
    </row>
    <row r="2770" spans="2:12" ht="15.75" customHeight="1">
      <c r="D2770" s="34" t="s">
        <v>126</v>
      </c>
      <c r="E2770">
        <v>2450</v>
      </c>
      <c r="F2770">
        <v>1</v>
      </c>
      <c r="H2770">
        <v>1</v>
      </c>
      <c r="J2770" t="s">
        <v>19</v>
      </c>
      <c r="K2770" t="s">
        <v>20</v>
      </c>
      <c r="L2770" t="s">
        <v>26</v>
      </c>
    </row>
    <row r="2771" spans="2:12" ht="15.75" customHeight="1">
      <c r="D2771" s="34" t="s">
        <v>126</v>
      </c>
      <c r="E2771">
        <v>2450</v>
      </c>
      <c r="F2771">
        <v>2</v>
      </c>
      <c r="H2771">
        <v>1</v>
      </c>
      <c r="J2771" t="s">
        <v>42</v>
      </c>
      <c r="K2771" t="s">
        <v>20</v>
      </c>
      <c r="L2771" t="s">
        <v>26</v>
      </c>
    </row>
    <row r="2772" spans="2:12" ht="15.75" customHeight="1">
      <c r="D2772" s="34" t="s">
        <v>126</v>
      </c>
      <c r="E2772">
        <v>2450</v>
      </c>
      <c r="F2772">
        <v>3</v>
      </c>
      <c r="H2772">
        <v>2</v>
      </c>
      <c r="J2772" t="s">
        <v>103</v>
      </c>
      <c r="K2772" t="s">
        <v>27</v>
      </c>
      <c r="L2772" t="s">
        <v>28</v>
      </c>
    </row>
    <row r="2773" spans="2:12" ht="15.75" customHeight="1">
      <c r="D2773" s="34" t="s">
        <v>126</v>
      </c>
      <c r="E2773">
        <v>2460</v>
      </c>
      <c r="F2773">
        <v>1</v>
      </c>
      <c r="H2773">
        <v>1</v>
      </c>
      <c r="J2773" t="s">
        <v>19</v>
      </c>
      <c r="K2773" t="s">
        <v>20</v>
      </c>
      <c r="L2773" t="s">
        <v>26</v>
      </c>
    </row>
    <row r="2774" spans="2:12" ht="15.75" customHeight="1">
      <c r="B2774" t="s">
        <v>99</v>
      </c>
      <c r="C2774" s="3" t="s">
        <v>100</v>
      </c>
      <c r="D2774" s="1" t="s">
        <v>126</v>
      </c>
      <c r="E2774">
        <v>2470</v>
      </c>
      <c r="F2774">
        <v>1</v>
      </c>
      <c r="G2774" s="32">
        <v>1</v>
      </c>
      <c r="H2774">
        <v>1</v>
      </c>
      <c r="J2774" t="s">
        <v>19</v>
      </c>
      <c r="K2774" t="s">
        <v>20</v>
      </c>
      <c r="L2774" t="s">
        <v>26</v>
      </c>
    </row>
    <row r="2775" spans="2:12" ht="15.75" customHeight="1">
      <c r="B2775" t="s">
        <v>99</v>
      </c>
      <c r="C2775" s="3" t="s">
        <v>100</v>
      </c>
      <c r="D2775" s="1" t="s">
        <v>126</v>
      </c>
      <c r="E2775">
        <v>2470</v>
      </c>
      <c r="F2775">
        <v>2</v>
      </c>
      <c r="G2775" s="32">
        <v>0</v>
      </c>
      <c r="H2775">
        <v>0</v>
      </c>
      <c r="J2775" t="s">
        <v>101</v>
      </c>
      <c r="L2775" t="s">
        <v>28</v>
      </c>
    </row>
    <row r="2776" spans="2:12" ht="15.75" customHeight="1">
      <c r="D2776" s="34" t="s">
        <v>126</v>
      </c>
      <c r="E2776">
        <v>2480</v>
      </c>
      <c r="F2776">
        <v>1</v>
      </c>
      <c r="H2776">
        <v>2</v>
      </c>
      <c r="J2776" t="s">
        <v>103</v>
      </c>
      <c r="K2776" t="s">
        <v>27</v>
      </c>
      <c r="L2776" t="s">
        <v>28</v>
      </c>
    </row>
    <row r="2777" spans="2:12" ht="15.75" customHeight="1">
      <c r="D2777" s="34" t="s">
        <v>126</v>
      </c>
      <c r="E2777">
        <v>2490</v>
      </c>
      <c r="F2777">
        <v>1</v>
      </c>
      <c r="H2777">
        <v>1</v>
      </c>
      <c r="J2777" t="s">
        <v>19</v>
      </c>
      <c r="K2777" t="s">
        <v>20</v>
      </c>
      <c r="L2777" t="s">
        <v>26</v>
      </c>
    </row>
    <row r="2778" spans="2:12" ht="15.75" customHeight="1">
      <c r="D2778" s="34" t="s">
        <v>126</v>
      </c>
      <c r="E2778">
        <v>2490</v>
      </c>
      <c r="F2778">
        <v>2</v>
      </c>
      <c r="H2778">
        <v>2</v>
      </c>
      <c r="J2778" t="s">
        <v>103</v>
      </c>
      <c r="K2778" t="s">
        <v>27</v>
      </c>
      <c r="L2778" t="s">
        <v>28</v>
      </c>
    </row>
    <row r="2779" spans="2:12" ht="15.75" customHeight="1">
      <c r="D2779" s="34" t="s">
        <v>126</v>
      </c>
      <c r="E2779">
        <v>2500</v>
      </c>
      <c r="F2779">
        <v>1</v>
      </c>
      <c r="H2779">
        <v>1</v>
      </c>
      <c r="J2779" t="s">
        <v>19</v>
      </c>
      <c r="K2779" t="s">
        <v>20</v>
      </c>
      <c r="L2779" t="s">
        <v>26</v>
      </c>
    </row>
    <row r="2780" spans="2:12" ht="15.75" customHeight="1">
      <c r="D2780" s="34" t="s">
        <v>126</v>
      </c>
      <c r="E2780">
        <v>2510</v>
      </c>
      <c r="F2780">
        <v>1</v>
      </c>
      <c r="H2780">
        <v>1</v>
      </c>
      <c r="J2780" t="s">
        <v>19</v>
      </c>
      <c r="K2780" t="s">
        <v>20</v>
      </c>
      <c r="L2780" t="s">
        <v>26</v>
      </c>
    </row>
    <row r="2781" spans="2:12" ht="15.75" customHeight="1">
      <c r="D2781" s="34" t="s">
        <v>126</v>
      </c>
      <c r="E2781">
        <v>2510</v>
      </c>
      <c r="F2781">
        <v>2</v>
      </c>
      <c r="H2781">
        <v>1</v>
      </c>
      <c r="J2781" t="s">
        <v>42</v>
      </c>
      <c r="K2781" t="s">
        <v>20</v>
      </c>
      <c r="L2781" t="s">
        <v>26</v>
      </c>
    </row>
    <row r="2782" spans="2:12" ht="15.75" customHeight="1">
      <c r="B2782" t="s">
        <v>99</v>
      </c>
      <c r="C2782" s="3" t="s">
        <v>100</v>
      </c>
      <c r="D2782" s="1" t="s">
        <v>126</v>
      </c>
      <c r="E2782">
        <v>2520</v>
      </c>
      <c r="F2782">
        <v>1</v>
      </c>
      <c r="G2782" s="32">
        <v>1</v>
      </c>
      <c r="H2782">
        <v>1</v>
      </c>
      <c r="J2782" t="s">
        <v>19</v>
      </c>
      <c r="K2782" t="s">
        <v>20</v>
      </c>
      <c r="L2782" t="s">
        <v>26</v>
      </c>
    </row>
    <row r="2783" spans="2:12" ht="15.75" customHeight="1">
      <c r="B2783" t="s">
        <v>99</v>
      </c>
      <c r="C2783" s="3" t="s">
        <v>100</v>
      </c>
      <c r="D2783" s="1" t="s">
        <v>126</v>
      </c>
      <c r="E2783">
        <v>2520</v>
      </c>
      <c r="F2783">
        <v>2</v>
      </c>
      <c r="G2783" s="32">
        <v>2</v>
      </c>
      <c r="H2783">
        <v>1</v>
      </c>
      <c r="J2783" t="s">
        <v>47</v>
      </c>
      <c r="K2783" t="s">
        <v>33</v>
      </c>
      <c r="L2783" t="s">
        <v>28</v>
      </c>
    </row>
    <row r="2784" spans="2:12" ht="15.75" customHeight="1">
      <c r="D2784" s="34" t="s">
        <v>126</v>
      </c>
      <c r="E2784">
        <v>2530</v>
      </c>
      <c r="F2784">
        <v>0</v>
      </c>
    </row>
    <row r="2785" spans="2:12" ht="15.75" customHeight="1">
      <c r="D2785" s="34" t="s">
        <v>126</v>
      </c>
      <c r="E2785">
        <v>2540</v>
      </c>
      <c r="F2785">
        <v>1</v>
      </c>
      <c r="H2785">
        <v>0</v>
      </c>
      <c r="J2785" t="s">
        <v>57</v>
      </c>
      <c r="L2785" t="s">
        <v>28</v>
      </c>
    </row>
    <row r="2786" spans="2:12" ht="15.75" customHeight="1">
      <c r="B2786" t="s">
        <v>99</v>
      </c>
      <c r="C2786" s="3" t="s">
        <v>100</v>
      </c>
      <c r="D2786" s="1" t="s">
        <v>126</v>
      </c>
      <c r="E2786">
        <v>2550</v>
      </c>
      <c r="F2786">
        <v>1</v>
      </c>
      <c r="G2786" s="32">
        <v>1</v>
      </c>
      <c r="H2786">
        <v>1</v>
      </c>
      <c r="J2786" t="s">
        <v>19</v>
      </c>
      <c r="K2786" t="s">
        <v>20</v>
      </c>
      <c r="L2786" t="s">
        <v>26</v>
      </c>
    </row>
    <row r="2787" spans="2:12" ht="15.75" customHeight="1">
      <c r="B2787" t="s">
        <v>99</v>
      </c>
      <c r="C2787" s="3" t="s">
        <v>100</v>
      </c>
      <c r="D2787" s="1" t="s">
        <v>126</v>
      </c>
      <c r="E2787">
        <v>2550</v>
      </c>
      <c r="F2787">
        <v>2</v>
      </c>
      <c r="G2787" s="32">
        <v>2</v>
      </c>
      <c r="H2787">
        <v>1</v>
      </c>
      <c r="J2787" t="s">
        <v>42</v>
      </c>
      <c r="K2787" t="s">
        <v>20</v>
      </c>
      <c r="L2787" t="s">
        <v>26</v>
      </c>
    </row>
    <row r="2788" spans="2:12" ht="15.75" customHeight="1">
      <c r="D2788" s="34" t="s">
        <v>126</v>
      </c>
      <c r="E2788">
        <v>2560</v>
      </c>
      <c r="F2788">
        <v>1</v>
      </c>
      <c r="H2788">
        <v>1</v>
      </c>
      <c r="J2788" t="s">
        <v>19</v>
      </c>
      <c r="K2788" t="s">
        <v>20</v>
      </c>
      <c r="L2788" t="s">
        <v>26</v>
      </c>
    </row>
    <row r="2789" spans="2:12" ht="15.75" customHeight="1">
      <c r="D2789" s="34" t="s">
        <v>126</v>
      </c>
      <c r="E2789">
        <v>2560</v>
      </c>
      <c r="F2789">
        <v>2</v>
      </c>
      <c r="H2789">
        <v>1</v>
      </c>
      <c r="J2789" t="s">
        <v>42</v>
      </c>
      <c r="K2789" t="s">
        <v>20</v>
      </c>
      <c r="L2789" t="s">
        <v>26</v>
      </c>
    </row>
    <row r="2790" spans="2:12" ht="15.75" customHeight="1">
      <c r="D2790" s="34" t="s">
        <v>126</v>
      </c>
      <c r="E2790">
        <v>2560</v>
      </c>
      <c r="F2790">
        <v>3</v>
      </c>
      <c r="H2790">
        <v>2</v>
      </c>
      <c r="J2790" t="s">
        <v>57</v>
      </c>
      <c r="K2790" t="s">
        <v>34</v>
      </c>
      <c r="L2790" t="s">
        <v>28</v>
      </c>
    </row>
    <row r="2791" spans="2:12" ht="15.75" customHeight="1">
      <c r="D2791" s="34" t="s">
        <v>126</v>
      </c>
      <c r="E2791">
        <v>2570</v>
      </c>
      <c r="I2791" t="s">
        <v>56</v>
      </c>
    </row>
    <row r="2792" spans="2:12" ht="15.75" customHeight="1">
      <c r="B2792" t="s">
        <v>99</v>
      </c>
      <c r="C2792" s="3" t="s">
        <v>100</v>
      </c>
      <c r="D2792" s="1" t="s">
        <v>126</v>
      </c>
      <c r="E2792">
        <v>2580</v>
      </c>
      <c r="F2792">
        <v>1</v>
      </c>
      <c r="G2792" s="32">
        <v>1</v>
      </c>
      <c r="H2792">
        <v>1</v>
      </c>
      <c r="J2792" t="s">
        <v>19</v>
      </c>
      <c r="K2792" t="s">
        <v>20</v>
      </c>
      <c r="L2792" t="s">
        <v>26</v>
      </c>
    </row>
    <row r="2793" spans="2:12" ht="15.75" customHeight="1">
      <c r="B2793" t="s">
        <v>99</v>
      </c>
      <c r="C2793" s="3" t="s">
        <v>100</v>
      </c>
      <c r="D2793" s="1" t="s">
        <v>126</v>
      </c>
      <c r="E2793">
        <v>2580</v>
      </c>
      <c r="F2793">
        <v>2</v>
      </c>
      <c r="G2793" s="32">
        <v>2</v>
      </c>
      <c r="H2793">
        <v>1</v>
      </c>
      <c r="J2793" t="s">
        <v>42</v>
      </c>
      <c r="K2793" t="s">
        <v>20</v>
      </c>
      <c r="L2793" t="s">
        <v>26</v>
      </c>
    </row>
    <row r="2794" spans="2:12" ht="15.75" customHeight="1">
      <c r="B2794" t="s">
        <v>99</v>
      </c>
      <c r="C2794" s="3" t="s">
        <v>100</v>
      </c>
      <c r="D2794" s="1" t="s">
        <v>126</v>
      </c>
      <c r="E2794">
        <v>2580</v>
      </c>
      <c r="F2794">
        <v>3</v>
      </c>
      <c r="G2794" s="32">
        <v>2</v>
      </c>
      <c r="H2794">
        <v>2</v>
      </c>
      <c r="J2794" t="s">
        <v>52</v>
      </c>
      <c r="K2794" t="s">
        <v>36</v>
      </c>
      <c r="L2794" t="s">
        <v>28</v>
      </c>
    </row>
    <row r="2795" spans="2:12" ht="15.75" customHeight="1">
      <c r="B2795" t="s">
        <v>99</v>
      </c>
      <c r="C2795" s="3" t="s">
        <v>100</v>
      </c>
      <c r="D2795" s="1" t="s">
        <v>126</v>
      </c>
      <c r="E2795">
        <v>2590</v>
      </c>
      <c r="F2795">
        <v>1</v>
      </c>
      <c r="G2795" s="32">
        <v>1</v>
      </c>
      <c r="H2795">
        <v>1</v>
      </c>
      <c r="J2795" t="s">
        <v>19</v>
      </c>
      <c r="K2795" t="s">
        <v>20</v>
      </c>
      <c r="L2795" t="s">
        <v>26</v>
      </c>
    </row>
    <row r="2796" spans="2:12" ht="15.75" customHeight="1">
      <c r="B2796" t="s">
        <v>99</v>
      </c>
      <c r="C2796" s="3" t="s">
        <v>100</v>
      </c>
      <c r="D2796" s="1" t="s">
        <v>126</v>
      </c>
      <c r="E2796">
        <v>2590</v>
      </c>
      <c r="F2796">
        <v>2</v>
      </c>
      <c r="G2796" s="32">
        <v>1</v>
      </c>
      <c r="H2796">
        <v>1</v>
      </c>
      <c r="J2796" t="s">
        <v>42</v>
      </c>
      <c r="K2796" t="s">
        <v>20</v>
      </c>
      <c r="L2796" t="s">
        <v>26</v>
      </c>
    </row>
    <row r="2797" spans="2:12" ht="15.75" customHeight="1">
      <c r="B2797" t="s">
        <v>99</v>
      </c>
      <c r="C2797" s="3" t="s">
        <v>100</v>
      </c>
      <c r="D2797" s="1" t="s">
        <v>126</v>
      </c>
      <c r="E2797">
        <v>2590</v>
      </c>
      <c r="F2797">
        <v>3</v>
      </c>
      <c r="G2797" s="32">
        <v>2</v>
      </c>
      <c r="H2797">
        <v>2</v>
      </c>
      <c r="J2797" t="s">
        <v>52</v>
      </c>
      <c r="K2797" t="s">
        <v>36</v>
      </c>
      <c r="L2797" t="s">
        <v>28</v>
      </c>
    </row>
    <row r="2798" spans="2:12" ht="15.75" customHeight="1">
      <c r="B2798" t="s">
        <v>99</v>
      </c>
      <c r="C2798" s="3" t="s">
        <v>100</v>
      </c>
      <c r="D2798" s="1" t="s">
        <v>126</v>
      </c>
      <c r="E2798">
        <v>2600</v>
      </c>
      <c r="F2798">
        <v>1</v>
      </c>
      <c r="G2798" s="32">
        <v>2</v>
      </c>
      <c r="H2798">
        <v>1</v>
      </c>
      <c r="J2798" t="s">
        <v>19</v>
      </c>
      <c r="K2798" t="s">
        <v>20</v>
      </c>
      <c r="L2798" t="s">
        <v>26</v>
      </c>
    </row>
    <row r="2799" spans="2:12" ht="15.75" customHeight="1">
      <c r="B2799" t="s">
        <v>99</v>
      </c>
      <c r="C2799" s="3" t="s">
        <v>100</v>
      </c>
      <c r="D2799" s="1" t="s">
        <v>126</v>
      </c>
      <c r="E2799">
        <v>2600</v>
      </c>
      <c r="F2799">
        <v>2</v>
      </c>
      <c r="G2799" s="32">
        <v>1</v>
      </c>
      <c r="H2799">
        <v>1</v>
      </c>
      <c r="J2799" t="s">
        <v>42</v>
      </c>
      <c r="K2799" t="s">
        <v>20</v>
      </c>
      <c r="L2799" t="s">
        <v>26</v>
      </c>
    </row>
    <row r="2800" spans="2:12" ht="15.75" customHeight="1">
      <c r="B2800" t="s">
        <v>99</v>
      </c>
      <c r="C2800" s="3" t="s">
        <v>100</v>
      </c>
      <c r="D2800" s="1" t="s">
        <v>126</v>
      </c>
      <c r="E2800">
        <v>2600</v>
      </c>
      <c r="F2800">
        <v>3</v>
      </c>
      <c r="G2800" s="32">
        <v>2</v>
      </c>
      <c r="H2800">
        <v>2</v>
      </c>
      <c r="J2800" t="s">
        <v>52</v>
      </c>
      <c r="K2800" t="s">
        <v>36</v>
      </c>
      <c r="L2800" t="s">
        <v>28</v>
      </c>
    </row>
    <row r="2801" spans="2:12" ht="15.75" customHeight="1">
      <c r="B2801" t="s">
        <v>99</v>
      </c>
      <c r="C2801" s="3" t="s">
        <v>100</v>
      </c>
      <c r="D2801" s="1" t="s">
        <v>126</v>
      </c>
      <c r="E2801">
        <v>2610</v>
      </c>
      <c r="F2801">
        <v>1</v>
      </c>
      <c r="G2801" s="32">
        <v>2</v>
      </c>
      <c r="H2801">
        <v>1</v>
      </c>
      <c r="J2801" t="s">
        <v>19</v>
      </c>
      <c r="K2801" t="s">
        <v>20</v>
      </c>
      <c r="L2801" t="s">
        <v>26</v>
      </c>
    </row>
    <row r="2802" spans="2:12" ht="15.75" customHeight="1">
      <c r="B2802" t="s">
        <v>99</v>
      </c>
      <c r="C2802" s="3" t="s">
        <v>100</v>
      </c>
      <c r="D2802" s="1" t="s">
        <v>126</v>
      </c>
      <c r="E2802">
        <v>2610</v>
      </c>
      <c r="F2802">
        <v>2</v>
      </c>
      <c r="G2802" s="32">
        <v>1</v>
      </c>
      <c r="H2802">
        <v>1</v>
      </c>
      <c r="J2802" t="s">
        <v>42</v>
      </c>
      <c r="K2802" t="s">
        <v>20</v>
      </c>
      <c r="L2802" t="s">
        <v>26</v>
      </c>
    </row>
    <row r="2803" spans="2:12" ht="15.75" customHeight="1">
      <c r="B2803" t="s">
        <v>99</v>
      </c>
      <c r="C2803" s="3" t="s">
        <v>100</v>
      </c>
      <c r="D2803" s="1" t="s">
        <v>126</v>
      </c>
      <c r="E2803">
        <v>2610</v>
      </c>
      <c r="F2803">
        <v>3</v>
      </c>
      <c r="G2803" s="32">
        <v>2</v>
      </c>
      <c r="H2803">
        <v>2</v>
      </c>
      <c r="J2803" t="s">
        <v>52</v>
      </c>
      <c r="K2803" t="s">
        <v>37</v>
      </c>
      <c r="L2803" t="s">
        <v>28</v>
      </c>
    </row>
    <row r="2804" spans="2:12" ht="15.75" customHeight="1">
      <c r="B2804" t="s">
        <v>99</v>
      </c>
      <c r="C2804" s="3" t="s">
        <v>100</v>
      </c>
      <c r="D2804" s="1" t="s">
        <v>126</v>
      </c>
      <c r="E2804">
        <v>2620</v>
      </c>
      <c r="F2804">
        <v>1</v>
      </c>
      <c r="G2804" s="32">
        <v>1</v>
      </c>
      <c r="H2804">
        <v>1</v>
      </c>
      <c r="J2804" t="s">
        <v>19</v>
      </c>
      <c r="K2804" t="s">
        <v>20</v>
      </c>
      <c r="L2804" t="s">
        <v>26</v>
      </c>
    </row>
    <row r="2805" spans="2:12" ht="15.75" customHeight="1">
      <c r="B2805" t="s">
        <v>99</v>
      </c>
      <c r="C2805" s="3" t="s">
        <v>100</v>
      </c>
      <c r="D2805" s="1" t="s">
        <v>126</v>
      </c>
      <c r="E2805">
        <v>2620</v>
      </c>
      <c r="F2805">
        <v>2</v>
      </c>
      <c r="G2805" s="32">
        <v>2</v>
      </c>
      <c r="H2805">
        <v>1</v>
      </c>
      <c r="J2805" t="s">
        <v>42</v>
      </c>
      <c r="K2805" t="s">
        <v>20</v>
      </c>
      <c r="L2805" t="s">
        <v>26</v>
      </c>
    </row>
    <row r="2806" spans="2:12" ht="15.75" customHeight="1">
      <c r="B2806" t="s">
        <v>99</v>
      </c>
      <c r="C2806" s="3" t="s">
        <v>100</v>
      </c>
      <c r="D2806" s="1" t="s">
        <v>126</v>
      </c>
      <c r="E2806">
        <v>2620</v>
      </c>
      <c r="F2806">
        <v>3</v>
      </c>
      <c r="G2806" s="32">
        <v>1</v>
      </c>
      <c r="H2806">
        <v>2</v>
      </c>
      <c r="J2806" t="s">
        <v>52</v>
      </c>
      <c r="K2806" t="s">
        <v>37</v>
      </c>
      <c r="L2806" t="s">
        <v>28</v>
      </c>
    </row>
    <row r="2807" spans="2:12" ht="15.75" customHeight="1">
      <c r="B2807" t="s">
        <v>99</v>
      </c>
      <c r="C2807" s="3" t="s">
        <v>100</v>
      </c>
      <c r="D2807" s="1" t="s">
        <v>126</v>
      </c>
      <c r="E2807">
        <v>2630</v>
      </c>
      <c r="F2807">
        <v>1</v>
      </c>
      <c r="G2807" s="32">
        <v>1</v>
      </c>
      <c r="H2807">
        <v>1</v>
      </c>
      <c r="J2807" t="s">
        <v>19</v>
      </c>
      <c r="K2807" t="s">
        <v>20</v>
      </c>
      <c r="L2807" t="s">
        <v>26</v>
      </c>
    </row>
    <row r="2808" spans="2:12" ht="15.75" customHeight="1">
      <c r="B2808" t="s">
        <v>99</v>
      </c>
      <c r="C2808" s="3" t="s">
        <v>100</v>
      </c>
      <c r="D2808" s="1" t="s">
        <v>126</v>
      </c>
      <c r="E2808">
        <v>2630</v>
      </c>
      <c r="F2808">
        <v>2</v>
      </c>
      <c r="G2808" s="32">
        <v>2</v>
      </c>
      <c r="H2808">
        <v>1</v>
      </c>
      <c r="J2808" t="s">
        <v>42</v>
      </c>
      <c r="K2808" t="s">
        <v>20</v>
      </c>
      <c r="L2808" t="s">
        <v>26</v>
      </c>
    </row>
    <row r="2809" spans="2:12" ht="15.75" customHeight="1">
      <c r="B2809" t="s">
        <v>99</v>
      </c>
      <c r="C2809" s="3" t="s">
        <v>100</v>
      </c>
      <c r="D2809" s="1" t="s">
        <v>126</v>
      </c>
      <c r="E2809">
        <v>2640</v>
      </c>
      <c r="F2809">
        <v>1</v>
      </c>
      <c r="G2809" s="32">
        <v>1</v>
      </c>
      <c r="H2809">
        <v>1</v>
      </c>
      <c r="J2809" t="s">
        <v>19</v>
      </c>
      <c r="K2809" t="s">
        <v>20</v>
      </c>
      <c r="L2809" t="s">
        <v>26</v>
      </c>
    </row>
    <row r="2810" spans="2:12" ht="15.75" customHeight="1">
      <c r="B2810" t="s">
        <v>99</v>
      </c>
      <c r="C2810" s="3" t="s">
        <v>100</v>
      </c>
      <c r="D2810" s="1" t="s">
        <v>126</v>
      </c>
      <c r="E2810">
        <v>2640</v>
      </c>
      <c r="F2810">
        <v>2</v>
      </c>
      <c r="G2810" s="32">
        <v>2</v>
      </c>
      <c r="H2810">
        <v>1</v>
      </c>
      <c r="J2810" t="s">
        <v>42</v>
      </c>
      <c r="K2810" t="s">
        <v>20</v>
      </c>
      <c r="L2810" t="s">
        <v>26</v>
      </c>
    </row>
    <row r="2811" spans="2:12" ht="15.75" customHeight="1">
      <c r="B2811" t="s">
        <v>99</v>
      </c>
      <c r="C2811" s="3" t="s">
        <v>100</v>
      </c>
      <c r="D2811" s="1" t="s">
        <v>126</v>
      </c>
      <c r="E2811">
        <v>2640</v>
      </c>
      <c r="F2811">
        <v>3</v>
      </c>
      <c r="G2811" s="32">
        <v>0</v>
      </c>
      <c r="H2811">
        <v>0</v>
      </c>
      <c r="J2811" s="12" t="s">
        <v>32</v>
      </c>
      <c r="K2811" s="12"/>
      <c r="L2811" t="s">
        <v>28</v>
      </c>
    </row>
    <row r="2812" spans="2:12" ht="15.75" customHeight="1">
      <c r="B2812" t="s">
        <v>99</v>
      </c>
      <c r="C2812" s="3" t="s">
        <v>100</v>
      </c>
      <c r="D2812" s="1" t="s">
        <v>126</v>
      </c>
      <c r="E2812">
        <v>2650</v>
      </c>
      <c r="F2812">
        <v>1</v>
      </c>
      <c r="G2812" s="32">
        <v>1</v>
      </c>
      <c r="H2812">
        <v>1</v>
      </c>
      <c r="J2812" t="s">
        <v>19</v>
      </c>
      <c r="K2812" t="s">
        <v>20</v>
      </c>
      <c r="L2812" t="s">
        <v>26</v>
      </c>
    </row>
    <row r="2813" spans="2:12" ht="15.75" customHeight="1">
      <c r="B2813" t="s">
        <v>99</v>
      </c>
      <c r="C2813" s="3" t="s">
        <v>100</v>
      </c>
      <c r="D2813" s="1" t="s">
        <v>126</v>
      </c>
      <c r="E2813">
        <v>2650</v>
      </c>
      <c r="F2813">
        <v>2</v>
      </c>
      <c r="G2813" s="32">
        <v>2</v>
      </c>
      <c r="H2813">
        <v>1</v>
      </c>
      <c r="J2813" t="s">
        <v>42</v>
      </c>
      <c r="K2813" t="s">
        <v>20</v>
      </c>
      <c r="L2813" t="s">
        <v>26</v>
      </c>
    </row>
    <row r="2814" spans="2:12" ht="15.75" customHeight="1">
      <c r="B2814" t="s">
        <v>99</v>
      </c>
      <c r="C2814" s="3" t="s">
        <v>100</v>
      </c>
      <c r="D2814" s="1" t="s">
        <v>126</v>
      </c>
      <c r="E2814">
        <v>2650</v>
      </c>
      <c r="F2814">
        <v>3</v>
      </c>
      <c r="G2814" s="32">
        <v>2</v>
      </c>
      <c r="H2814">
        <v>2</v>
      </c>
      <c r="J2814" t="s">
        <v>32</v>
      </c>
      <c r="K2814" t="s">
        <v>37</v>
      </c>
      <c r="L2814" t="s">
        <v>28</v>
      </c>
    </row>
    <row r="2815" spans="2:12" ht="15.75" customHeight="1">
      <c r="B2815" t="s">
        <v>99</v>
      </c>
      <c r="C2815" s="3" t="s">
        <v>100</v>
      </c>
      <c r="D2815" s="1" t="s">
        <v>126</v>
      </c>
      <c r="E2815">
        <v>2660</v>
      </c>
      <c r="F2815">
        <v>1</v>
      </c>
      <c r="G2815" s="32">
        <v>1</v>
      </c>
      <c r="H2815">
        <v>1</v>
      </c>
      <c r="J2815" t="s">
        <v>19</v>
      </c>
      <c r="K2815" t="s">
        <v>20</v>
      </c>
      <c r="L2815" t="s">
        <v>26</v>
      </c>
    </row>
    <row r="2816" spans="2:12" ht="15.75" customHeight="1">
      <c r="B2816" t="s">
        <v>99</v>
      </c>
      <c r="C2816" s="3" t="s">
        <v>100</v>
      </c>
      <c r="D2816" s="1" t="s">
        <v>126</v>
      </c>
      <c r="E2816">
        <v>2660</v>
      </c>
      <c r="F2816">
        <v>2</v>
      </c>
      <c r="G2816" s="32">
        <v>2</v>
      </c>
      <c r="H2816">
        <v>1</v>
      </c>
      <c r="J2816" t="s">
        <v>42</v>
      </c>
      <c r="K2816" t="s">
        <v>20</v>
      </c>
      <c r="L2816" t="s">
        <v>26</v>
      </c>
    </row>
    <row r="2817" spans="2:12" ht="15.75" customHeight="1">
      <c r="B2817" t="s">
        <v>99</v>
      </c>
      <c r="C2817" s="3" t="s">
        <v>100</v>
      </c>
      <c r="D2817" s="1" t="s">
        <v>126</v>
      </c>
      <c r="E2817">
        <v>2660</v>
      </c>
      <c r="F2817">
        <v>3</v>
      </c>
      <c r="G2817" s="32">
        <v>2</v>
      </c>
      <c r="H2817">
        <v>2</v>
      </c>
      <c r="J2817" t="s">
        <v>32</v>
      </c>
      <c r="K2817" t="s">
        <v>37</v>
      </c>
      <c r="L2817" t="s">
        <v>28</v>
      </c>
    </row>
    <row r="2818" spans="2:12" ht="15.75" customHeight="1">
      <c r="D2818" s="34" t="s">
        <v>126</v>
      </c>
      <c r="E2818">
        <v>2670</v>
      </c>
      <c r="F2818">
        <v>1</v>
      </c>
      <c r="H2818">
        <v>1</v>
      </c>
      <c r="J2818" t="s">
        <v>19</v>
      </c>
      <c r="K2818" t="s">
        <v>20</v>
      </c>
      <c r="L2818" t="s">
        <v>26</v>
      </c>
    </row>
    <row r="2819" spans="2:12" ht="15.75" customHeight="1">
      <c r="D2819" s="34" t="s">
        <v>126</v>
      </c>
      <c r="E2819">
        <v>2670</v>
      </c>
      <c r="F2819">
        <v>2</v>
      </c>
      <c r="H2819">
        <v>1</v>
      </c>
      <c r="J2819" t="s">
        <v>42</v>
      </c>
      <c r="K2819" t="s">
        <v>20</v>
      </c>
      <c r="L2819" t="s">
        <v>26</v>
      </c>
    </row>
    <row r="2820" spans="2:12" ht="15.75" customHeight="1">
      <c r="B2820" t="s">
        <v>99</v>
      </c>
      <c r="C2820" s="3" t="s">
        <v>100</v>
      </c>
      <c r="D2820" s="1" t="s">
        <v>126</v>
      </c>
      <c r="E2820">
        <v>2680</v>
      </c>
      <c r="F2820">
        <v>1</v>
      </c>
      <c r="G2820" s="32">
        <v>2</v>
      </c>
      <c r="H2820">
        <v>1</v>
      </c>
      <c r="J2820" t="s">
        <v>19</v>
      </c>
      <c r="K2820" t="s">
        <v>33</v>
      </c>
      <c r="L2820" t="s">
        <v>26</v>
      </c>
    </row>
    <row r="2821" spans="2:12" ht="15.75" customHeight="1">
      <c r="B2821" t="s">
        <v>99</v>
      </c>
      <c r="C2821" s="3" t="s">
        <v>100</v>
      </c>
      <c r="D2821" s="1" t="s">
        <v>126</v>
      </c>
      <c r="E2821">
        <v>2680</v>
      </c>
      <c r="F2821">
        <v>2</v>
      </c>
      <c r="G2821" s="32">
        <v>1</v>
      </c>
      <c r="H2821">
        <v>1</v>
      </c>
      <c r="J2821" t="s">
        <v>42</v>
      </c>
      <c r="K2821" t="s">
        <v>20</v>
      </c>
      <c r="L2821" t="s">
        <v>26</v>
      </c>
    </row>
    <row r="2822" spans="2:12" ht="15.75" customHeight="1">
      <c r="B2822" t="s">
        <v>99</v>
      </c>
      <c r="C2822" s="3" t="s">
        <v>100</v>
      </c>
      <c r="D2822" s="1" t="s">
        <v>126</v>
      </c>
      <c r="E2822">
        <v>2680</v>
      </c>
      <c r="F2822">
        <v>3</v>
      </c>
      <c r="G2822" s="32">
        <v>2</v>
      </c>
      <c r="H2822">
        <v>2</v>
      </c>
      <c r="J2822" t="s">
        <v>47</v>
      </c>
      <c r="K2822" t="s">
        <v>47</v>
      </c>
      <c r="L2822" t="s">
        <v>28</v>
      </c>
    </row>
    <row r="2823" spans="2:12" ht="15.75" customHeight="1">
      <c r="D2823" s="34" t="s">
        <v>126</v>
      </c>
      <c r="E2823">
        <v>2690</v>
      </c>
      <c r="F2823">
        <v>1</v>
      </c>
      <c r="H2823">
        <v>1</v>
      </c>
      <c r="J2823" t="s">
        <v>19</v>
      </c>
      <c r="K2823" t="s">
        <v>20</v>
      </c>
      <c r="L2823" t="s">
        <v>26</v>
      </c>
    </row>
    <row r="2824" spans="2:12" ht="15.75" customHeight="1">
      <c r="D2824" s="34" t="s">
        <v>126</v>
      </c>
      <c r="E2824">
        <v>2690</v>
      </c>
      <c r="F2824">
        <v>2</v>
      </c>
      <c r="H2824">
        <v>1</v>
      </c>
      <c r="J2824" t="s">
        <v>42</v>
      </c>
      <c r="K2824" t="s">
        <v>20</v>
      </c>
      <c r="L2824" t="s">
        <v>26</v>
      </c>
    </row>
    <row r="2825" spans="2:12" ht="15.75" customHeight="1">
      <c r="D2825" s="34" t="s">
        <v>126</v>
      </c>
      <c r="E2825">
        <v>2690</v>
      </c>
      <c r="F2825">
        <v>3</v>
      </c>
      <c r="H2825">
        <v>2</v>
      </c>
      <c r="J2825" t="s">
        <v>53</v>
      </c>
      <c r="K2825" t="s">
        <v>34</v>
      </c>
      <c r="L2825" t="s">
        <v>28</v>
      </c>
    </row>
    <row r="2826" spans="2:12" ht="15.75" customHeight="1">
      <c r="B2826" t="s">
        <v>99</v>
      </c>
      <c r="C2826" s="3" t="s">
        <v>100</v>
      </c>
      <c r="D2826" s="1" t="s">
        <v>126</v>
      </c>
      <c r="E2826">
        <v>2700</v>
      </c>
      <c r="F2826">
        <v>1</v>
      </c>
      <c r="G2826" s="32">
        <v>1</v>
      </c>
      <c r="H2826">
        <v>1</v>
      </c>
      <c r="J2826" t="s">
        <v>19</v>
      </c>
      <c r="K2826" t="s">
        <v>20</v>
      </c>
      <c r="L2826" t="s">
        <v>26</v>
      </c>
    </row>
    <row r="2827" spans="2:12" ht="15.75" customHeight="1">
      <c r="B2827" t="s">
        <v>99</v>
      </c>
      <c r="C2827" s="3" t="s">
        <v>100</v>
      </c>
      <c r="D2827" s="1" t="s">
        <v>126</v>
      </c>
      <c r="E2827">
        <v>2700</v>
      </c>
      <c r="F2827">
        <v>2</v>
      </c>
      <c r="G2827" s="32">
        <v>2</v>
      </c>
      <c r="H2827">
        <v>1</v>
      </c>
      <c r="J2827" t="s">
        <v>42</v>
      </c>
      <c r="K2827" t="s">
        <v>20</v>
      </c>
      <c r="L2827" t="s">
        <v>26</v>
      </c>
    </row>
    <row r="2828" spans="2:12" ht="15.75" customHeight="1">
      <c r="B2828" t="s">
        <v>99</v>
      </c>
      <c r="C2828" s="3" t="s">
        <v>100</v>
      </c>
      <c r="D2828" s="1" t="s">
        <v>126</v>
      </c>
      <c r="E2828">
        <v>2700</v>
      </c>
      <c r="F2828">
        <v>3</v>
      </c>
      <c r="G2828" s="32">
        <v>0</v>
      </c>
      <c r="H2828">
        <v>0</v>
      </c>
      <c r="J2828" t="s">
        <v>101</v>
      </c>
      <c r="L2828" t="s">
        <v>28</v>
      </c>
    </row>
    <row r="2829" spans="2:12" ht="15.75" customHeight="1">
      <c r="D2829" s="34" t="s">
        <v>126</v>
      </c>
      <c r="E2829">
        <v>2710</v>
      </c>
      <c r="F2829">
        <v>1</v>
      </c>
      <c r="H2829">
        <v>1</v>
      </c>
      <c r="J2829" t="s">
        <v>19</v>
      </c>
      <c r="K2829" t="s">
        <v>20</v>
      </c>
      <c r="L2829" t="s">
        <v>26</v>
      </c>
    </row>
    <row r="2830" spans="2:12" ht="15.75" customHeight="1">
      <c r="D2830" s="34" t="s">
        <v>126</v>
      </c>
      <c r="E2830">
        <v>2710</v>
      </c>
      <c r="F2830">
        <v>2</v>
      </c>
      <c r="H2830">
        <v>1</v>
      </c>
      <c r="J2830" t="s">
        <v>42</v>
      </c>
      <c r="K2830" t="s">
        <v>20</v>
      </c>
      <c r="L2830" t="s">
        <v>26</v>
      </c>
    </row>
    <row r="2831" spans="2:12" ht="15.75" customHeight="1">
      <c r="D2831" s="34" t="s">
        <v>126</v>
      </c>
      <c r="E2831">
        <v>2710</v>
      </c>
      <c r="F2831">
        <v>3</v>
      </c>
      <c r="H2831">
        <v>2</v>
      </c>
      <c r="J2831" t="s">
        <v>103</v>
      </c>
      <c r="K2831" t="s">
        <v>34</v>
      </c>
      <c r="L2831" t="s">
        <v>28</v>
      </c>
    </row>
    <row r="2832" spans="2:12" ht="15.75" customHeight="1">
      <c r="D2832" s="34" t="s">
        <v>126</v>
      </c>
      <c r="E2832">
        <v>2720</v>
      </c>
      <c r="F2832">
        <v>1</v>
      </c>
      <c r="H2832">
        <v>1</v>
      </c>
      <c r="J2832" t="s">
        <v>19</v>
      </c>
      <c r="K2832" t="s">
        <v>20</v>
      </c>
      <c r="L2832" t="s">
        <v>26</v>
      </c>
    </row>
    <row r="2833" spans="2:12" ht="15.75" customHeight="1">
      <c r="D2833" s="34" t="s">
        <v>126</v>
      </c>
      <c r="E2833">
        <v>2720</v>
      </c>
      <c r="F2833">
        <v>2</v>
      </c>
      <c r="H2833">
        <v>1</v>
      </c>
      <c r="J2833" t="s">
        <v>42</v>
      </c>
      <c r="K2833" t="s">
        <v>20</v>
      </c>
      <c r="L2833" t="s">
        <v>26</v>
      </c>
    </row>
    <row r="2834" spans="2:12" ht="15.75" customHeight="1">
      <c r="D2834" s="34" t="s">
        <v>126</v>
      </c>
      <c r="E2834">
        <v>2720</v>
      </c>
      <c r="F2834">
        <v>3</v>
      </c>
      <c r="H2834">
        <v>2</v>
      </c>
      <c r="J2834" t="s">
        <v>103</v>
      </c>
      <c r="K2834" t="s">
        <v>34</v>
      </c>
      <c r="L2834" t="s">
        <v>28</v>
      </c>
    </row>
    <row r="2835" spans="2:12" ht="15.75" customHeight="1">
      <c r="B2835" t="s">
        <v>99</v>
      </c>
      <c r="C2835" s="3" t="s">
        <v>100</v>
      </c>
      <c r="D2835" s="1" t="s">
        <v>126</v>
      </c>
      <c r="E2835">
        <v>2730</v>
      </c>
      <c r="F2835">
        <v>1</v>
      </c>
      <c r="G2835" s="32">
        <v>3</v>
      </c>
      <c r="H2835">
        <v>0</v>
      </c>
      <c r="J2835" s="12" t="s">
        <v>46</v>
      </c>
    </row>
    <row r="2836" spans="2:12" ht="15.75" customHeight="1">
      <c r="B2836" t="s">
        <v>99</v>
      </c>
      <c r="C2836" s="3" t="s">
        <v>100</v>
      </c>
      <c r="D2836" s="1" t="s">
        <v>126</v>
      </c>
      <c r="E2836">
        <v>2730</v>
      </c>
      <c r="F2836">
        <v>2</v>
      </c>
      <c r="G2836" s="32">
        <v>2</v>
      </c>
      <c r="H2836">
        <v>2</v>
      </c>
      <c r="J2836" t="s">
        <v>101</v>
      </c>
      <c r="K2836" t="s">
        <v>36</v>
      </c>
      <c r="L2836" t="s">
        <v>28</v>
      </c>
    </row>
    <row r="2837" spans="2:12" ht="15.75" customHeight="1">
      <c r="D2837" s="34" t="s">
        <v>126</v>
      </c>
      <c r="E2837">
        <v>2740</v>
      </c>
      <c r="F2837">
        <v>1</v>
      </c>
      <c r="H2837">
        <v>1</v>
      </c>
      <c r="J2837" t="s">
        <v>19</v>
      </c>
      <c r="K2837" t="s">
        <v>20</v>
      </c>
      <c r="L2837" t="s">
        <v>26</v>
      </c>
    </row>
    <row r="2838" spans="2:12" ht="15.75" customHeight="1">
      <c r="D2838" s="34" t="s">
        <v>126</v>
      </c>
      <c r="E2838">
        <v>2740</v>
      </c>
      <c r="F2838">
        <v>2</v>
      </c>
      <c r="H2838">
        <v>1</v>
      </c>
      <c r="J2838" t="s">
        <v>42</v>
      </c>
      <c r="K2838" t="s">
        <v>20</v>
      </c>
      <c r="L2838" t="s">
        <v>26</v>
      </c>
    </row>
    <row r="2839" spans="2:12" ht="15.75" customHeight="1">
      <c r="D2839" s="34" t="s">
        <v>126</v>
      </c>
      <c r="E2839">
        <v>2740</v>
      </c>
      <c r="F2839">
        <v>3</v>
      </c>
      <c r="H2839">
        <v>0</v>
      </c>
      <c r="J2839" t="s">
        <v>57</v>
      </c>
      <c r="L2839" t="s">
        <v>28</v>
      </c>
    </row>
    <row r="2840" spans="2:12" ht="15.75" customHeight="1">
      <c r="D2840" s="34" t="s">
        <v>126</v>
      </c>
      <c r="E2840">
        <v>2750</v>
      </c>
      <c r="I2840" t="s">
        <v>56</v>
      </c>
    </row>
    <row r="2841" spans="2:12" ht="15.75" customHeight="1">
      <c r="D2841" s="34" t="s">
        <v>126</v>
      </c>
      <c r="E2841">
        <v>2760</v>
      </c>
      <c r="F2841">
        <v>1</v>
      </c>
      <c r="H2841">
        <v>2</v>
      </c>
      <c r="J2841" t="s">
        <v>57</v>
      </c>
      <c r="K2841" t="s">
        <v>34</v>
      </c>
      <c r="L2841" t="s">
        <v>28</v>
      </c>
    </row>
    <row r="2842" spans="2:12" ht="15.75" customHeight="1">
      <c r="D2842" s="34" t="s">
        <v>126</v>
      </c>
      <c r="E2842">
        <v>2760</v>
      </c>
      <c r="F2842">
        <v>2</v>
      </c>
      <c r="H2842">
        <v>1</v>
      </c>
      <c r="J2842" t="s">
        <v>19</v>
      </c>
      <c r="K2842" t="s">
        <v>20</v>
      </c>
      <c r="L2842" t="s">
        <v>26</v>
      </c>
    </row>
    <row r="2843" spans="2:12" ht="15.75" customHeight="1">
      <c r="B2843" t="s">
        <v>99</v>
      </c>
      <c r="C2843" s="3" t="s">
        <v>100</v>
      </c>
      <c r="D2843" s="1" t="s">
        <v>126</v>
      </c>
      <c r="E2843">
        <v>2770</v>
      </c>
      <c r="F2843">
        <v>1</v>
      </c>
      <c r="G2843" s="32">
        <v>2</v>
      </c>
      <c r="H2843">
        <v>1</v>
      </c>
      <c r="J2843" t="s">
        <v>19</v>
      </c>
      <c r="K2843" t="s">
        <v>33</v>
      </c>
      <c r="L2843" t="s">
        <v>26</v>
      </c>
    </row>
    <row r="2844" spans="2:12" ht="15.75" customHeight="1">
      <c r="B2844" t="s">
        <v>99</v>
      </c>
      <c r="C2844" s="3" t="s">
        <v>100</v>
      </c>
      <c r="D2844" s="1" t="s">
        <v>126</v>
      </c>
      <c r="E2844">
        <v>2770</v>
      </c>
      <c r="F2844">
        <v>2</v>
      </c>
      <c r="G2844" s="32">
        <v>2</v>
      </c>
      <c r="H2844">
        <v>1</v>
      </c>
      <c r="J2844" t="s">
        <v>42</v>
      </c>
      <c r="K2844" t="s">
        <v>20</v>
      </c>
      <c r="L2844" t="s">
        <v>26</v>
      </c>
    </row>
    <row r="2845" spans="2:12" ht="15.75" customHeight="1">
      <c r="B2845" t="s">
        <v>99</v>
      </c>
      <c r="C2845" s="3" t="s">
        <v>100</v>
      </c>
      <c r="D2845" s="1" t="s">
        <v>126</v>
      </c>
      <c r="E2845">
        <v>2770</v>
      </c>
      <c r="F2845">
        <v>3</v>
      </c>
      <c r="G2845" s="32">
        <v>3</v>
      </c>
      <c r="H2845">
        <v>0</v>
      </c>
      <c r="J2845" s="12" t="s">
        <v>46</v>
      </c>
    </row>
    <row r="2846" spans="2:12" ht="15.75" customHeight="1">
      <c r="B2846" t="s">
        <v>99</v>
      </c>
      <c r="C2846" s="3" t="s">
        <v>100</v>
      </c>
      <c r="D2846" s="1" t="s">
        <v>126</v>
      </c>
      <c r="E2846">
        <v>2770</v>
      </c>
      <c r="F2846">
        <v>4</v>
      </c>
      <c r="G2846" s="32">
        <v>2</v>
      </c>
      <c r="H2846">
        <v>2</v>
      </c>
      <c r="J2846" t="s">
        <v>52</v>
      </c>
      <c r="K2846" t="s">
        <v>33</v>
      </c>
      <c r="L2846" t="s">
        <v>28</v>
      </c>
    </row>
    <row r="2847" spans="2:12" ht="15.75" customHeight="1">
      <c r="D2847" s="34" t="s">
        <v>126</v>
      </c>
      <c r="E2847">
        <v>2780</v>
      </c>
      <c r="F2847">
        <v>1</v>
      </c>
      <c r="H2847">
        <v>1</v>
      </c>
      <c r="J2847" t="s">
        <v>19</v>
      </c>
      <c r="K2847" t="s">
        <v>20</v>
      </c>
      <c r="L2847" t="s">
        <v>26</v>
      </c>
    </row>
    <row r="2848" spans="2:12" ht="15.75" customHeight="1">
      <c r="D2848" s="34" t="s">
        <v>126</v>
      </c>
      <c r="E2848">
        <v>2780</v>
      </c>
      <c r="F2848">
        <v>2</v>
      </c>
      <c r="H2848">
        <v>1</v>
      </c>
      <c r="J2848" t="s">
        <v>42</v>
      </c>
      <c r="K2848" t="s">
        <v>20</v>
      </c>
      <c r="L2848" t="s">
        <v>26</v>
      </c>
    </row>
    <row r="2849" spans="2:12" ht="15.75" customHeight="1">
      <c r="D2849" s="34" t="s">
        <v>126</v>
      </c>
      <c r="E2849">
        <v>2780</v>
      </c>
      <c r="F2849">
        <v>3</v>
      </c>
      <c r="H2849">
        <v>2</v>
      </c>
      <c r="J2849" t="s">
        <v>57</v>
      </c>
      <c r="K2849" t="s">
        <v>34</v>
      </c>
      <c r="L2849" t="s">
        <v>28</v>
      </c>
    </row>
    <row r="2850" spans="2:12" ht="15.75" customHeight="1">
      <c r="B2850" t="s">
        <v>99</v>
      </c>
      <c r="C2850" s="3" t="s">
        <v>100</v>
      </c>
      <c r="D2850" s="1" t="s">
        <v>126</v>
      </c>
      <c r="E2850">
        <v>2790</v>
      </c>
      <c r="F2850">
        <v>1</v>
      </c>
      <c r="G2850" s="32">
        <v>1</v>
      </c>
      <c r="H2850">
        <v>1</v>
      </c>
      <c r="J2850" t="s">
        <v>19</v>
      </c>
      <c r="K2850" t="s">
        <v>20</v>
      </c>
      <c r="L2850" t="s">
        <v>26</v>
      </c>
    </row>
    <row r="2851" spans="2:12" ht="15.75" customHeight="1">
      <c r="B2851" t="s">
        <v>99</v>
      </c>
      <c r="C2851" s="3" t="s">
        <v>100</v>
      </c>
      <c r="D2851" s="1" t="s">
        <v>126</v>
      </c>
      <c r="E2851">
        <v>2790</v>
      </c>
      <c r="F2851">
        <v>2</v>
      </c>
      <c r="G2851" s="32">
        <v>2</v>
      </c>
      <c r="H2851">
        <v>1</v>
      </c>
      <c r="J2851" t="s">
        <v>42</v>
      </c>
      <c r="K2851" t="s">
        <v>20</v>
      </c>
      <c r="L2851" t="s">
        <v>26</v>
      </c>
    </row>
    <row r="2852" spans="2:12" ht="15.75" customHeight="1">
      <c r="B2852" t="s">
        <v>99</v>
      </c>
      <c r="C2852" s="3" t="s">
        <v>100</v>
      </c>
      <c r="D2852" s="1" t="s">
        <v>126</v>
      </c>
      <c r="E2852">
        <v>2790</v>
      </c>
      <c r="F2852">
        <v>3</v>
      </c>
      <c r="G2852" s="32">
        <v>2</v>
      </c>
      <c r="H2852">
        <v>2</v>
      </c>
      <c r="J2852" t="s">
        <v>47</v>
      </c>
      <c r="K2852" t="s">
        <v>47</v>
      </c>
      <c r="L2852" t="s">
        <v>28</v>
      </c>
    </row>
    <row r="2853" spans="2:12" ht="15.75" customHeight="1">
      <c r="D2853" s="34" t="s">
        <v>126</v>
      </c>
      <c r="E2853">
        <v>2800</v>
      </c>
      <c r="F2853">
        <v>1</v>
      </c>
      <c r="H2853">
        <v>1</v>
      </c>
      <c r="J2853" t="s">
        <v>19</v>
      </c>
      <c r="K2853" t="s">
        <v>20</v>
      </c>
      <c r="L2853" t="s">
        <v>26</v>
      </c>
    </row>
    <row r="2854" spans="2:12" ht="15.75" customHeight="1">
      <c r="D2854" s="34" t="s">
        <v>126</v>
      </c>
      <c r="E2854">
        <v>2800</v>
      </c>
      <c r="F2854">
        <v>2</v>
      </c>
      <c r="H2854">
        <v>1</v>
      </c>
      <c r="J2854" t="s">
        <v>42</v>
      </c>
      <c r="K2854" t="s">
        <v>20</v>
      </c>
      <c r="L2854" t="s">
        <v>26</v>
      </c>
    </row>
    <row r="2855" spans="2:12" ht="15.75" customHeight="1">
      <c r="D2855" s="34" t="s">
        <v>126</v>
      </c>
      <c r="E2855">
        <v>2800</v>
      </c>
      <c r="F2855">
        <v>3</v>
      </c>
      <c r="H2855">
        <v>0</v>
      </c>
      <c r="J2855" t="s">
        <v>53</v>
      </c>
      <c r="L2855" t="s">
        <v>28</v>
      </c>
    </row>
    <row r="2856" spans="2:12" ht="15.75" customHeight="1">
      <c r="D2856" s="34" t="s">
        <v>126</v>
      </c>
      <c r="E2856">
        <v>2810</v>
      </c>
      <c r="F2856">
        <v>1</v>
      </c>
      <c r="H2856">
        <v>1</v>
      </c>
      <c r="J2856" t="s">
        <v>19</v>
      </c>
      <c r="K2856" t="s">
        <v>20</v>
      </c>
      <c r="L2856" t="s">
        <v>26</v>
      </c>
    </row>
    <row r="2857" spans="2:12" ht="15.75" customHeight="1">
      <c r="D2857" s="34" t="s">
        <v>126</v>
      </c>
      <c r="E2857">
        <v>2810</v>
      </c>
      <c r="F2857">
        <v>2</v>
      </c>
      <c r="H2857">
        <v>1</v>
      </c>
      <c r="J2857" t="s">
        <v>42</v>
      </c>
      <c r="K2857" t="s">
        <v>20</v>
      </c>
      <c r="L2857" t="s">
        <v>26</v>
      </c>
    </row>
    <row r="2858" spans="2:12" ht="15.75" customHeight="1">
      <c r="D2858" s="34" t="s">
        <v>126</v>
      </c>
      <c r="E2858">
        <v>2810</v>
      </c>
      <c r="F2858">
        <v>3</v>
      </c>
      <c r="H2858">
        <v>0</v>
      </c>
      <c r="J2858" t="s">
        <v>53</v>
      </c>
      <c r="L2858" t="s">
        <v>28</v>
      </c>
    </row>
    <row r="2859" spans="2:12" ht="15.75" customHeight="1">
      <c r="B2859" t="s">
        <v>99</v>
      </c>
      <c r="C2859" s="3" t="s">
        <v>100</v>
      </c>
      <c r="D2859" s="1" t="s">
        <v>126</v>
      </c>
      <c r="E2859">
        <v>2820</v>
      </c>
      <c r="F2859">
        <v>1</v>
      </c>
      <c r="G2859" s="32">
        <v>2</v>
      </c>
      <c r="H2859">
        <v>1</v>
      </c>
      <c r="J2859" t="s">
        <v>19</v>
      </c>
      <c r="K2859" t="s">
        <v>20</v>
      </c>
      <c r="L2859" t="s">
        <v>26</v>
      </c>
    </row>
    <row r="2860" spans="2:12" ht="15.75" customHeight="1">
      <c r="B2860" t="s">
        <v>99</v>
      </c>
      <c r="C2860" s="3" t="s">
        <v>100</v>
      </c>
      <c r="D2860" s="1" t="s">
        <v>126</v>
      </c>
      <c r="E2860">
        <v>2820</v>
      </c>
      <c r="F2860">
        <v>2</v>
      </c>
      <c r="G2860" s="32">
        <v>1</v>
      </c>
      <c r="H2860">
        <v>2</v>
      </c>
      <c r="J2860" t="s">
        <v>101</v>
      </c>
      <c r="K2860" t="s">
        <v>36</v>
      </c>
      <c r="L2860" t="s">
        <v>28</v>
      </c>
    </row>
    <row r="2861" spans="2:12" ht="15.75" customHeight="1">
      <c r="D2861" s="34" t="s">
        <v>126</v>
      </c>
      <c r="E2861">
        <v>2830</v>
      </c>
      <c r="F2861">
        <v>1</v>
      </c>
      <c r="H2861">
        <v>1</v>
      </c>
      <c r="J2861" t="s">
        <v>19</v>
      </c>
      <c r="K2861" t="s">
        <v>20</v>
      </c>
      <c r="L2861" t="s">
        <v>26</v>
      </c>
    </row>
    <row r="2862" spans="2:12" ht="15.75" customHeight="1">
      <c r="D2862" s="34" t="s">
        <v>126</v>
      </c>
      <c r="E2862">
        <v>2830</v>
      </c>
      <c r="F2862">
        <v>2</v>
      </c>
      <c r="H2862">
        <v>2</v>
      </c>
      <c r="J2862" t="s">
        <v>103</v>
      </c>
      <c r="K2862" t="s">
        <v>34</v>
      </c>
      <c r="L2862" t="s">
        <v>28</v>
      </c>
    </row>
    <row r="2863" spans="2:12" ht="15.75" customHeight="1">
      <c r="B2863" t="s">
        <v>99</v>
      </c>
      <c r="C2863" s="3" t="s">
        <v>100</v>
      </c>
      <c r="D2863" s="1" t="s">
        <v>126</v>
      </c>
      <c r="E2863">
        <v>2840</v>
      </c>
      <c r="F2863">
        <v>1</v>
      </c>
      <c r="G2863" s="32">
        <v>1</v>
      </c>
      <c r="H2863">
        <v>1</v>
      </c>
      <c r="J2863" t="s">
        <v>19</v>
      </c>
      <c r="K2863" t="s">
        <v>20</v>
      </c>
      <c r="L2863" t="s">
        <v>26</v>
      </c>
    </row>
    <row r="2864" spans="2:12" ht="15.75" customHeight="1">
      <c r="B2864" t="s">
        <v>99</v>
      </c>
      <c r="C2864" s="3" t="s">
        <v>100</v>
      </c>
      <c r="D2864" s="1" t="s">
        <v>126</v>
      </c>
      <c r="E2864">
        <v>2850</v>
      </c>
      <c r="F2864">
        <v>1</v>
      </c>
      <c r="G2864" s="32">
        <v>1</v>
      </c>
      <c r="H2864">
        <v>1</v>
      </c>
      <c r="J2864" t="s">
        <v>19</v>
      </c>
      <c r="K2864" t="s">
        <v>20</v>
      </c>
      <c r="L2864" t="s">
        <v>26</v>
      </c>
    </row>
    <row r="2865" spans="2:12" ht="15.75" customHeight="1">
      <c r="B2865" t="s">
        <v>99</v>
      </c>
      <c r="C2865" s="3" t="s">
        <v>100</v>
      </c>
      <c r="D2865" s="1" t="s">
        <v>126</v>
      </c>
      <c r="E2865">
        <v>2850</v>
      </c>
      <c r="F2865">
        <v>2</v>
      </c>
      <c r="G2865" s="32">
        <v>2</v>
      </c>
      <c r="H2865">
        <v>1</v>
      </c>
      <c r="J2865" t="s">
        <v>47</v>
      </c>
      <c r="K2865" t="s">
        <v>33</v>
      </c>
      <c r="L2865" t="s">
        <v>28</v>
      </c>
    </row>
    <row r="2866" spans="2:12" ht="15.75" customHeight="1">
      <c r="B2866" t="s">
        <v>99</v>
      </c>
      <c r="C2866" s="3" t="s">
        <v>100</v>
      </c>
      <c r="D2866" s="1" t="s">
        <v>126</v>
      </c>
      <c r="E2866">
        <v>2850</v>
      </c>
      <c r="F2866">
        <v>3</v>
      </c>
      <c r="G2866" s="32">
        <v>0</v>
      </c>
      <c r="H2866">
        <v>0</v>
      </c>
      <c r="J2866" t="s">
        <v>19</v>
      </c>
      <c r="K2866" s="12" t="s">
        <v>133</v>
      </c>
      <c r="L2866" t="s">
        <v>26</v>
      </c>
    </row>
    <row r="2867" spans="2:12" ht="15.75" customHeight="1">
      <c r="B2867" t="s">
        <v>99</v>
      </c>
      <c r="C2867" s="3" t="s">
        <v>100</v>
      </c>
      <c r="D2867" s="1" t="s">
        <v>126</v>
      </c>
      <c r="E2867">
        <v>2860</v>
      </c>
      <c r="F2867">
        <v>1</v>
      </c>
      <c r="G2867" s="32">
        <v>1</v>
      </c>
      <c r="H2867">
        <v>1</v>
      </c>
      <c r="J2867" t="s">
        <v>19</v>
      </c>
      <c r="K2867" t="s">
        <v>20</v>
      </c>
      <c r="L2867" t="s">
        <v>26</v>
      </c>
    </row>
    <row r="2868" spans="2:12" ht="15.75" customHeight="1">
      <c r="B2868" t="s">
        <v>99</v>
      </c>
      <c r="C2868" s="3" t="s">
        <v>100</v>
      </c>
      <c r="D2868" s="1" t="s">
        <v>126</v>
      </c>
      <c r="E2868">
        <v>2860</v>
      </c>
      <c r="F2868">
        <v>2</v>
      </c>
      <c r="G2868" s="32">
        <v>2</v>
      </c>
      <c r="H2868">
        <v>2</v>
      </c>
      <c r="J2868" t="s">
        <v>47</v>
      </c>
      <c r="K2868" t="s">
        <v>47</v>
      </c>
      <c r="L2868" t="s">
        <v>28</v>
      </c>
    </row>
    <row r="2869" spans="2:12" ht="15.75" customHeight="1">
      <c r="B2869" t="s">
        <v>99</v>
      </c>
      <c r="C2869" s="3" t="s">
        <v>100</v>
      </c>
      <c r="D2869" s="1" t="s">
        <v>126</v>
      </c>
      <c r="E2869">
        <v>2860</v>
      </c>
      <c r="F2869">
        <v>3</v>
      </c>
      <c r="G2869" s="32">
        <v>0</v>
      </c>
      <c r="H2869">
        <v>0</v>
      </c>
      <c r="J2869" t="s">
        <v>19</v>
      </c>
      <c r="K2869" s="12" t="s">
        <v>133</v>
      </c>
      <c r="L2869" t="s">
        <v>26</v>
      </c>
    </row>
    <row r="2870" spans="2:12" ht="15.75" customHeight="1">
      <c r="D2870" s="34" t="s">
        <v>126</v>
      </c>
      <c r="E2870">
        <v>2870</v>
      </c>
      <c r="F2870">
        <v>1</v>
      </c>
      <c r="H2870">
        <v>1</v>
      </c>
      <c r="J2870" t="s">
        <v>19</v>
      </c>
      <c r="K2870" t="s">
        <v>20</v>
      </c>
      <c r="L2870" t="s">
        <v>26</v>
      </c>
    </row>
    <row r="2871" spans="2:12" ht="15.75" customHeight="1">
      <c r="D2871" s="34" t="s">
        <v>126</v>
      </c>
      <c r="E2871">
        <v>2870</v>
      </c>
      <c r="F2871">
        <v>2</v>
      </c>
      <c r="H2871">
        <v>0</v>
      </c>
      <c r="J2871" t="s">
        <v>57</v>
      </c>
      <c r="L2871" t="s">
        <v>28</v>
      </c>
    </row>
    <row r="2872" spans="2:12" ht="15.75" customHeight="1">
      <c r="D2872" s="34" t="s">
        <v>126</v>
      </c>
      <c r="E2872">
        <v>2880</v>
      </c>
      <c r="F2872">
        <v>1</v>
      </c>
      <c r="H2872">
        <v>1</v>
      </c>
      <c r="J2872" t="s">
        <v>19</v>
      </c>
      <c r="K2872" t="s">
        <v>20</v>
      </c>
      <c r="L2872" t="s">
        <v>26</v>
      </c>
    </row>
    <row r="2873" spans="2:12" ht="15.75" customHeight="1">
      <c r="D2873" s="34" t="s">
        <v>126</v>
      </c>
      <c r="E2873">
        <v>2880</v>
      </c>
      <c r="F2873">
        <v>2</v>
      </c>
      <c r="H2873">
        <v>2</v>
      </c>
      <c r="J2873" t="s">
        <v>53</v>
      </c>
      <c r="K2873" t="s">
        <v>34</v>
      </c>
      <c r="L2873" t="s">
        <v>28</v>
      </c>
    </row>
    <row r="2874" spans="2:12" ht="15.75" customHeight="1">
      <c r="D2874" s="34" t="s">
        <v>126</v>
      </c>
      <c r="E2874">
        <v>2890</v>
      </c>
      <c r="F2874">
        <v>1</v>
      </c>
      <c r="H2874">
        <v>1</v>
      </c>
      <c r="J2874" t="s">
        <v>19</v>
      </c>
      <c r="K2874" t="s">
        <v>20</v>
      </c>
      <c r="L2874" t="s">
        <v>26</v>
      </c>
    </row>
    <row r="2875" spans="2:12" ht="15.75" customHeight="1">
      <c r="D2875" s="34" t="s">
        <v>126</v>
      </c>
      <c r="E2875">
        <v>2890</v>
      </c>
      <c r="F2875">
        <v>2</v>
      </c>
      <c r="H2875">
        <v>2</v>
      </c>
      <c r="J2875" t="s">
        <v>53</v>
      </c>
      <c r="K2875" t="s">
        <v>34</v>
      </c>
      <c r="L2875" t="s">
        <v>28</v>
      </c>
    </row>
    <row r="2876" spans="2:12" ht="15.75" customHeight="1">
      <c r="D2876" s="34" t="s">
        <v>126</v>
      </c>
      <c r="E2876">
        <v>2900</v>
      </c>
      <c r="F2876">
        <v>1</v>
      </c>
      <c r="H2876">
        <v>1</v>
      </c>
      <c r="J2876" t="s">
        <v>19</v>
      </c>
      <c r="K2876" t="s">
        <v>20</v>
      </c>
      <c r="L2876" t="s">
        <v>26</v>
      </c>
    </row>
    <row r="2877" spans="2:12" ht="15.75" customHeight="1">
      <c r="D2877" s="34" t="s">
        <v>126</v>
      </c>
      <c r="E2877">
        <v>2900</v>
      </c>
      <c r="F2877">
        <v>2</v>
      </c>
      <c r="H2877">
        <v>2</v>
      </c>
      <c r="J2877" t="s">
        <v>53</v>
      </c>
      <c r="K2877" t="s">
        <v>34</v>
      </c>
      <c r="L2877" t="s">
        <v>28</v>
      </c>
    </row>
    <row r="2878" spans="2:12" ht="15.75" customHeight="1">
      <c r="B2878" t="s">
        <v>99</v>
      </c>
      <c r="C2878" s="3" t="s">
        <v>100</v>
      </c>
      <c r="D2878" s="1" t="s">
        <v>126</v>
      </c>
      <c r="E2878">
        <v>2910</v>
      </c>
      <c r="F2878">
        <v>1</v>
      </c>
      <c r="G2878" s="32">
        <v>1</v>
      </c>
      <c r="H2878">
        <v>1</v>
      </c>
      <c r="J2878" t="s">
        <v>19</v>
      </c>
      <c r="K2878" t="s">
        <v>20</v>
      </c>
      <c r="L2878" t="s">
        <v>26</v>
      </c>
    </row>
    <row r="2879" spans="2:12" ht="15.75" customHeight="1">
      <c r="B2879" t="s">
        <v>99</v>
      </c>
      <c r="C2879" s="3" t="s">
        <v>100</v>
      </c>
      <c r="D2879" s="1" t="s">
        <v>126</v>
      </c>
      <c r="E2879">
        <v>2910</v>
      </c>
      <c r="F2879">
        <v>2</v>
      </c>
      <c r="G2879" s="32">
        <v>0</v>
      </c>
      <c r="H2879">
        <v>0</v>
      </c>
      <c r="J2879" t="s">
        <v>47</v>
      </c>
      <c r="L2879" t="s">
        <v>28</v>
      </c>
    </row>
    <row r="2880" spans="2:12" ht="15.75" customHeight="1">
      <c r="D2880" s="34" t="s">
        <v>126</v>
      </c>
      <c r="E2880">
        <v>2920</v>
      </c>
      <c r="F2880">
        <v>1</v>
      </c>
      <c r="H2880">
        <v>1</v>
      </c>
      <c r="J2880" t="s">
        <v>19</v>
      </c>
      <c r="K2880" t="s">
        <v>20</v>
      </c>
      <c r="L2880" t="s">
        <v>26</v>
      </c>
    </row>
    <row r="2881" spans="2:12" ht="15.75" customHeight="1">
      <c r="D2881" s="34" t="s">
        <v>126</v>
      </c>
      <c r="E2881">
        <v>2920</v>
      </c>
      <c r="F2881">
        <v>2</v>
      </c>
      <c r="H2881">
        <v>0</v>
      </c>
      <c r="J2881" t="s">
        <v>57</v>
      </c>
      <c r="L2881" t="s">
        <v>28</v>
      </c>
    </row>
    <row r="2882" spans="2:12" ht="15.75" customHeight="1">
      <c r="D2882" s="34" t="s">
        <v>126</v>
      </c>
      <c r="E2882">
        <v>2930</v>
      </c>
      <c r="F2882">
        <v>1</v>
      </c>
      <c r="H2882">
        <v>0</v>
      </c>
      <c r="J2882" t="s">
        <v>19</v>
      </c>
      <c r="L2882" t="s">
        <v>26</v>
      </c>
    </row>
    <row r="2883" spans="2:12" ht="15.75" customHeight="1">
      <c r="D2883" s="34" t="s">
        <v>126</v>
      </c>
      <c r="E2883">
        <v>2930</v>
      </c>
      <c r="F2883">
        <v>2</v>
      </c>
      <c r="H2883">
        <v>1</v>
      </c>
      <c r="J2883" t="s">
        <v>19</v>
      </c>
      <c r="K2883" t="s">
        <v>20</v>
      </c>
      <c r="L2883" t="s">
        <v>26</v>
      </c>
    </row>
    <row r="2884" spans="2:12" ht="15.75" customHeight="1">
      <c r="D2884" s="34" t="s">
        <v>126</v>
      </c>
      <c r="E2884">
        <v>2930</v>
      </c>
      <c r="F2884">
        <v>3</v>
      </c>
      <c r="H2884">
        <v>2</v>
      </c>
      <c r="J2884" t="s">
        <v>57</v>
      </c>
      <c r="K2884" t="s">
        <v>34</v>
      </c>
      <c r="L2884" t="s">
        <v>28</v>
      </c>
    </row>
    <row r="2885" spans="2:12" ht="15.75" customHeight="1">
      <c r="D2885" s="34" t="s">
        <v>126</v>
      </c>
      <c r="E2885">
        <v>2940</v>
      </c>
      <c r="F2885">
        <v>1</v>
      </c>
      <c r="H2885">
        <v>1</v>
      </c>
      <c r="J2885" t="s">
        <v>19</v>
      </c>
      <c r="K2885" t="s">
        <v>20</v>
      </c>
      <c r="L2885" t="s">
        <v>26</v>
      </c>
    </row>
    <row r="2886" spans="2:12" ht="15.75" customHeight="1">
      <c r="D2886" s="34" t="s">
        <v>126</v>
      </c>
      <c r="E2886">
        <v>2940</v>
      </c>
      <c r="F2886">
        <v>2</v>
      </c>
      <c r="H2886">
        <v>0</v>
      </c>
      <c r="J2886" t="s">
        <v>57</v>
      </c>
      <c r="L2886" t="s">
        <v>28</v>
      </c>
    </row>
    <row r="2887" spans="2:12" ht="15.75" customHeight="1">
      <c r="D2887" s="34" t="s">
        <v>126</v>
      </c>
      <c r="E2887">
        <v>2950</v>
      </c>
      <c r="F2887">
        <v>1</v>
      </c>
      <c r="H2887">
        <v>0</v>
      </c>
      <c r="J2887" t="s">
        <v>19</v>
      </c>
      <c r="L2887" t="s">
        <v>28</v>
      </c>
    </row>
    <row r="2888" spans="2:12" ht="15.75" customHeight="1">
      <c r="D2888" s="34" t="s">
        <v>126</v>
      </c>
      <c r="E2888">
        <v>2950</v>
      </c>
      <c r="F2888">
        <v>2</v>
      </c>
      <c r="H2888">
        <v>1</v>
      </c>
      <c r="J2888" t="s">
        <v>42</v>
      </c>
      <c r="K2888" t="s">
        <v>20</v>
      </c>
      <c r="L2888" t="s">
        <v>26</v>
      </c>
    </row>
    <row r="2889" spans="2:12" ht="15.75" customHeight="1">
      <c r="D2889" s="34" t="s">
        <v>126</v>
      </c>
      <c r="E2889">
        <v>2950</v>
      </c>
      <c r="F2889">
        <v>3</v>
      </c>
      <c r="H2889">
        <v>0</v>
      </c>
      <c r="J2889" t="s">
        <v>57</v>
      </c>
      <c r="L2889" t="s">
        <v>28</v>
      </c>
    </row>
    <row r="2890" spans="2:12" ht="15.75" customHeight="1">
      <c r="D2890" s="34" t="s">
        <v>126</v>
      </c>
      <c r="E2890">
        <v>2960</v>
      </c>
      <c r="F2890">
        <v>1</v>
      </c>
      <c r="H2890">
        <v>1</v>
      </c>
      <c r="J2890" t="s">
        <v>19</v>
      </c>
      <c r="K2890" t="s">
        <v>20</v>
      </c>
      <c r="L2890" t="s">
        <v>26</v>
      </c>
    </row>
    <row r="2891" spans="2:12" ht="15.75" customHeight="1">
      <c r="D2891" s="34" t="s">
        <v>126</v>
      </c>
      <c r="E2891">
        <v>2960</v>
      </c>
      <c r="F2891">
        <v>2</v>
      </c>
      <c r="H2891">
        <v>1</v>
      </c>
      <c r="J2891" t="s">
        <v>57</v>
      </c>
      <c r="L2891" t="s">
        <v>28</v>
      </c>
    </row>
    <row r="2892" spans="2:12" ht="15.75" customHeight="1">
      <c r="B2892" t="s">
        <v>99</v>
      </c>
      <c r="C2892" s="3" t="s">
        <v>100</v>
      </c>
      <c r="D2892" s="1" t="s">
        <v>126</v>
      </c>
      <c r="E2892">
        <v>2970</v>
      </c>
      <c r="F2892">
        <v>1</v>
      </c>
      <c r="G2892" s="32">
        <v>3</v>
      </c>
      <c r="H2892">
        <v>0</v>
      </c>
      <c r="J2892" s="12" t="s">
        <v>46</v>
      </c>
    </row>
    <row r="2893" spans="2:12" ht="15.75" customHeight="1">
      <c r="B2893" t="s">
        <v>99</v>
      </c>
      <c r="C2893" s="3" t="s">
        <v>100</v>
      </c>
      <c r="D2893" s="1" t="s">
        <v>126</v>
      </c>
      <c r="E2893">
        <v>2970</v>
      </c>
      <c r="F2893">
        <v>2</v>
      </c>
      <c r="G2893" s="32">
        <v>2</v>
      </c>
      <c r="H2893">
        <v>1</v>
      </c>
      <c r="J2893" t="s">
        <v>19</v>
      </c>
      <c r="K2893" t="s">
        <v>20</v>
      </c>
      <c r="L2893" t="s">
        <v>26</v>
      </c>
    </row>
    <row r="2894" spans="2:12" ht="15.75" customHeight="1">
      <c r="B2894" t="s">
        <v>99</v>
      </c>
      <c r="C2894" s="3" t="s">
        <v>100</v>
      </c>
      <c r="D2894" s="1" t="s">
        <v>126</v>
      </c>
      <c r="E2894">
        <v>2970</v>
      </c>
      <c r="F2894">
        <v>3</v>
      </c>
      <c r="G2894" s="32">
        <v>1</v>
      </c>
      <c r="H2894">
        <v>2</v>
      </c>
      <c r="J2894" t="s">
        <v>47</v>
      </c>
      <c r="K2894" t="s">
        <v>47</v>
      </c>
      <c r="L2894" t="s">
        <v>28</v>
      </c>
    </row>
    <row r="2895" spans="2:12" ht="15.75" customHeight="1">
      <c r="B2895" t="s">
        <v>99</v>
      </c>
      <c r="C2895" s="3" t="s">
        <v>100</v>
      </c>
      <c r="D2895" s="1" t="s">
        <v>126</v>
      </c>
      <c r="E2895">
        <v>2980</v>
      </c>
      <c r="F2895">
        <v>1</v>
      </c>
      <c r="G2895" s="32">
        <v>1</v>
      </c>
      <c r="H2895">
        <v>1</v>
      </c>
      <c r="J2895" t="s">
        <v>19</v>
      </c>
      <c r="K2895" t="s">
        <v>20</v>
      </c>
      <c r="L2895" t="s">
        <v>26</v>
      </c>
    </row>
    <row r="2896" spans="2:12" ht="15.75" customHeight="1">
      <c r="B2896" t="s">
        <v>99</v>
      </c>
      <c r="C2896" s="3" t="s">
        <v>100</v>
      </c>
      <c r="D2896" s="1" t="s">
        <v>126</v>
      </c>
      <c r="E2896">
        <v>2980</v>
      </c>
      <c r="F2896">
        <v>2</v>
      </c>
      <c r="G2896" s="32">
        <v>1</v>
      </c>
      <c r="H2896">
        <v>1</v>
      </c>
      <c r="J2896" t="s">
        <v>47</v>
      </c>
      <c r="K2896" t="s">
        <v>47</v>
      </c>
      <c r="L2896" t="s">
        <v>28</v>
      </c>
    </row>
    <row r="2897" spans="2:12" ht="15.75" customHeight="1">
      <c r="D2897" s="34" t="s">
        <v>126</v>
      </c>
      <c r="E2897">
        <v>2990</v>
      </c>
      <c r="F2897">
        <v>1</v>
      </c>
      <c r="H2897">
        <v>1</v>
      </c>
      <c r="J2897" t="s">
        <v>19</v>
      </c>
      <c r="K2897" t="s">
        <v>20</v>
      </c>
      <c r="L2897" t="s">
        <v>26</v>
      </c>
    </row>
    <row r="2898" spans="2:12" ht="15.75" customHeight="1">
      <c r="D2898" s="34" t="s">
        <v>126</v>
      </c>
      <c r="E2898">
        <v>2990</v>
      </c>
      <c r="F2898">
        <v>2</v>
      </c>
      <c r="H2898">
        <v>0</v>
      </c>
      <c r="J2898" t="s">
        <v>57</v>
      </c>
      <c r="L2898" t="s">
        <v>28</v>
      </c>
    </row>
    <row r="2899" spans="2:12" ht="15.75" customHeight="1">
      <c r="D2899" s="34" t="s">
        <v>126</v>
      </c>
      <c r="E2899">
        <v>3000</v>
      </c>
      <c r="F2899">
        <v>1</v>
      </c>
      <c r="H2899">
        <v>1</v>
      </c>
      <c r="J2899" t="s">
        <v>19</v>
      </c>
      <c r="K2899" t="s">
        <v>20</v>
      </c>
      <c r="L2899" t="s">
        <v>26</v>
      </c>
    </row>
    <row r="2900" spans="2:12" ht="15.75" customHeight="1">
      <c r="D2900" s="34" t="s">
        <v>126</v>
      </c>
      <c r="E2900">
        <v>3000</v>
      </c>
      <c r="F2900">
        <v>2</v>
      </c>
      <c r="H2900">
        <v>2</v>
      </c>
      <c r="J2900" t="s">
        <v>53</v>
      </c>
      <c r="L2900" t="s">
        <v>28</v>
      </c>
    </row>
    <row r="2901" spans="2:12" ht="15.75" customHeight="1">
      <c r="D2901" s="34" t="s">
        <v>126</v>
      </c>
      <c r="E2901">
        <v>3010</v>
      </c>
      <c r="F2901">
        <v>1</v>
      </c>
      <c r="H2901">
        <v>1</v>
      </c>
      <c r="J2901" t="s">
        <v>19</v>
      </c>
      <c r="K2901" t="s">
        <v>20</v>
      </c>
      <c r="L2901" t="s">
        <v>26</v>
      </c>
    </row>
    <row r="2902" spans="2:12" ht="15.75" customHeight="1">
      <c r="D2902" s="34" t="s">
        <v>126</v>
      </c>
      <c r="E2902">
        <v>3010</v>
      </c>
      <c r="F2902">
        <v>2</v>
      </c>
      <c r="H2902">
        <v>2</v>
      </c>
      <c r="J2902" t="s">
        <v>53</v>
      </c>
      <c r="L2902" t="s">
        <v>28</v>
      </c>
    </row>
    <row r="2903" spans="2:12" ht="15.75" customHeight="1">
      <c r="D2903" s="34" t="s">
        <v>126</v>
      </c>
      <c r="E2903">
        <v>3020</v>
      </c>
      <c r="F2903">
        <v>1</v>
      </c>
      <c r="H2903">
        <v>1</v>
      </c>
      <c r="J2903" t="s">
        <v>19</v>
      </c>
      <c r="K2903" t="s">
        <v>20</v>
      </c>
      <c r="L2903" t="s">
        <v>26</v>
      </c>
    </row>
    <row r="2904" spans="2:12" ht="15.75" customHeight="1">
      <c r="D2904" s="34" t="s">
        <v>126</v>
      </c>
      <c r="E2904">
        <v>3020</v>
      </c>
      <c r="F2904">
        <v>2</v>
      </c>
      <c r="H2904">
        <v>2</v>
      </c>
      <c r="J2904" t="s">
        <v>53</v>
      </c>
      <c r="K2904" t="s">
        <v>34</v>
      </c>
      <c r="L2904" t="s">
        <v>28</v>
      </c>
    </row>
    <row r="2905" spans="2:12" ht="15.75" customHeight="1">
      <c r="D2905" s="34" t="s">
        <v>126</v>
      </c>
      <c r="E2905">
        <v>3030</v>
      </c>
      <c r="F2905">
        <v>1</v>
      </c>
      <c r="H2905">
        <v>1</v>
      </c>
      <c r="J2905" t="s">
        <v>19</v>
      </c>
      <c r="K2905" t="s">
        <v>20</v>
      </c>
      <c r="L2905" t="s">
        <v>26</v>
      </c>
    </row>
    <row r="2906" spans="2:12" ht="15.75" customHeight="1">
      <c r="D2906" s="34" t="s">
        <v>126</v>
      </c>
      <c r="E2906">
        <v>3040</v>
      </c>
      <c r="F2906">
        <v>1</v>
      </c>
      <c r="H2906">
        <v>1</v>
      </c>
      <c r="J2906" t="s">
        <v>19</v>
      </c>
      <c r="K2906" t="s">
        <v>20</v>
      </c>
      <c r="L2906" t="s">
        <v>26</v>
      </c>
    </row>
    <row r="2907" spans="2:12" ht="15.75" customHeight="1">
      <c r="D2907" s="34" t="s">
        <v>126</v>
      </c>
      <c r="E2907">
        <v>3040</v>
      </c>
      <c r="F2907">
        <v>2</v>
      </c>
      <c r="H2907">
        <v>1</v>
      </c>
      <c r="J2907" t="s">
        <v>42</v>
      </c>
      <c r="K2907" t="s">
        <v>20</v>
      </c>
      <c r="L2907" t="s">
        <v>26</v>
      </c>
    </row>
    <row r="2908" spans="2:12" ht="15.75" customHeight="1">
      <c r="D2908" s="34" t="s">
        <v>126</v>
      </c>
      <c r="E2908">
        <v>3050</v>
      </c>
      <c r="F2908">
        <v>1</v>
      </c>
      <c r="I2908" t="s">
        <v>73</v>
      </c>
    </row>
    <row r="2909" spans="2:12" ht="15.75" customHeight="1">
      <c r="B2909" t="s">
        <v>99</v>
      </c>
      <c r="C2909" s="3" t="s">
        <v>100</v>
      </c>
      <c r="D2909" s="1" t="s">
        <v>126</v>
      </c>
      <c r="E2909">
        <v>3060</v>
      </c>
      <c r="F2909">
        <v>1</v>
      </c>
      <c r="G2909" s="32">
        <v>2</v>
      </c>
      <c r="H2909">
        <v>2</v>
      </c>
      <c r="J2909" t="s">
        <v>47</v>
      </c>
      <c r="K2909" t="s">
        <v>33</v>
      </c>
      <c r="L2909" t="s">
        <v>28</v>
      </c>
    </row>
    <row r="2910" spans="2:12" ht="15.75" customHeight="1">
      <c r="B2910" t="s">
        <v>99</v>
      </c>
      <c r="C2910" s="3" t="s">
        <v>100</v>
      </c>
      <c r="D2910" s="1" t="s">
        <v>126</v>
      </c>
      <c r="E2910">
        <v>3060</v>
      </c>
      <c r="F2910">
        <v>2</v>
      </c>
      <c r="G2910" s="32">
        <v>3</v>
      </c>
      <c r="H2910">
        <v>0</v>
      </c>
      <c r="J2910" t="s">
        <v>47</v>
      </c>
      <c r="L2910" t="s">
        <v>28</v>
      </c>
    </row>
    <row r="2911" spans="2:12" ht="15.75" customHeight="1">
      <c r="D2911" s="34" t="s">
        <v>126</v>
      </c>
      <c r="E2911">
        <v>3070</v>
      </c>
      <c r="F2911">
        <v>1</v>
      </c>
      <c r="H2911">
        <v>2</v>
      </c>
      <c r="J2911" t="s">
        <v>19</v>
      </c>
      <c r="K2911" t="s">
        <v>20</v>
      </c>
      <c r="L2911" t="s">
        <v>26</v>
      </c>
    </row>
    <row r="2912" spans="2:12" ht="15.75" customHeight="1">
      <c r="D2912" s="34" t="s">
        <v>126</v>
      </c>
      <c r="E2912">
        <v>3070</v>
      </c>
      <c r="F2912">
        <v>2</v>
      </c>
      <c r="H2912">
        <v>2</v>
      </c>
      <c r="J2912" t="s">
        <v>53</v>
      </c>
      <c r="K2912" t="s">
        <v>34</v>
      </c>
      <c r="L2912" t="s">
        <v>28</v>
      </c>
    </row>
    <row r="2913" spans="2:12" ht="15.75" customHeight="1">
      <c r="D2913" s="34" t="s">
        <v>126</v>
      </c>
      <c r="E2913">
        <v>3080</v>
      </c>
      <c r="F2913">
        <v>1</v>
      </c>
      <c r="H2913">
        <v>1</v>
      </c>
      <c r="I2913" t="s">
        <v>123</v>
      </c>
      <c r="J2913" t="s">
        <v>19</v>
      </c>
      <c r="K2913" t="s">
        <v>20</v>
      </c>
      <c r="L2913" t="s">
        <v>26</v>
      </c>
    </row>
    <row r="2914" spans="2:12" ht="15.75" customHeight="1">
      <c r="D2914" s="34" t="s">
        <v>126</v>
      </c>
      <c r="E2914">
        <v>3080</v>
      </c>
      <c r="F2914">
        <v>2</v>
      </c>
      <c r="H2914">
        <v>1</v>
      </c>
      <c r="I2914" t="s">
        <v>123</v>
      </c>
      <c r="J2914" t="s">
        <v>53</v>
      </c>
      <c r="K2914" t="s">
        <v>34</v>
      </c>
      <c r="L2914" t="s">
        <v>28</v>
      </c>
    </row>
    <row r="2915" spans="2:12" ht="15.75" customHeight="1">
      <c r="B2915" t="s">
        <v>99</v>
      </c>
      <c r="C2915" s="3" t="s">
        <v>100</v>
      </c>
      <c r="D2915" s="1" t="s">
        <v>126</v>
      </c>
      <c r="E2915">
        <v>3090</v>
      </c>
      <c r="F2915">
        <v>1</v>
      </c>
      <c r="G2915" s="32">
        <v>1</v>
      </c>
      <c r="H2915">
        <v>1</v>
      </c>
      <c r="J2915" t="s">
        <v>19</v>
      </c>
      <c r="K2915" t="s">
        <v>20</v>
      </c>
      <c r="L2915" t="s">
        <v>26</v>
      </c>
    </row>
    <row r="2916" spans="2:12" ht="15.75" customHeight="1">
      <c r="B2916" t="s">
        <v>99</v>
      </c>
      <c r="C2916" s="3" t="s">
        <v>100</v>
      </c>
      <c r="D2916" s="1" t="s">
        <v>126</v>
      </c>
      <c r="E2916">
        <v>3090</v>
      </c>
      <c r="F2916">
        <v>2</v>
      </c>
      <c r="G2916" s="32">
        <v>2</v>
      </c>
      <c r="H2916">
        <v>1</v>
      </c>
      <c r="J2916" t="s">
        <v>42</v>
      </c>
      <c r="K2916" t="s">
        <v>20</v>
      </c>
      <c r="L2916" t="s">
        <v>26</v>
      </c>
    </row>
    <row r="2917" spans="2:12" ht="15.75" customHeight="1">
      <c r="B2917" t="s">
        <v>99</v>
      </c>
      <c r="C2917" s="3" t="s">
        <v>100</v>
      </c>
      <c r="D2917" s="1" t="s">
        <v>126</v>
      </c>
      <c r="E2917">
        <v>3090</v>
      </c>
      <c r="F2917">
        <v>3</v>
      </c>
      <c r="G2917" s="32">
        <v>2</v>
      </c>
      <c r="H2917">
        <v>2</v>
      </c>
      <c r="J2917" t="s">
        <v>47</v>
      </c>
      <c r="K2917" t="s">
        <v>33</v>
      </c>
      <c r="L2917" t="s">
        <v>28</v>
      </c>
    </row>
    <row r="2918" spans="2:12" ht="15.75" customHeight="1">
      <c r="B2918" t="s">
        <v>99</v>
      </c>
      <c r="C2918" s="3" t="s">
        <v>100</v>
      </c>
      <c r="D2918" s="1" t="s">
        <v>126</v>
      </c>
      <c r="E2918">
        <v>3100</v>
      </c>
      <c r="F2918">
        <v>1</v>
      </c>
      <c r="G2918" s="32">
        <v>1</v>
      </c>
      <c r="H2918">
        <v>1</v>
      </c>
      <c r="J2918" t="s">
        <v>19</v>
      </c>
      <c r="K2918" t="s">
        <v>20</v>
      </c>
      <c r="L2918" t="s">
        <v>26</v>
      </c>
    </row>
    <row r="2919" spans="2:12" ht="15.75" customHeight="1">
      <c r="B2919" t="s">
        <v>99</v>
      </c>
      <c r="C2919" s="3" t="s">
        <v>100</v>
      </c>
      <c r="D2919" s="1" t="s">
        <v>126</v>
      </c>
      <c r="E2919">
        <v>3100</v>
      </c>
      <c r="F2919">
        <v>2</v>
      </c>
      <c r="G2919" s="32">
        <v>2</v>
      </c>
      <c r="H2919">
        <v>1</v>
      </c>
      <c r="J2919" t="s">
        <v>42</v>
      </c>
      <c r="K2919" t="s">
        <v>20</v>
      </c>
      <c r="L2919" t="s">
        <v>26</v>
      </c>
    </row>
    <row r="2920" spans="2:12" ht="15.75" customHeight="1">
      <c r="B2920" t="s">
        <v>99</v>
      </c>
      <c r="C2920" s="3" t="s">
        <v>100</v>
      </c>
      <c r="D2920" s="1" t="s">
        <v>126</v>
      </c>
      <c r="E2920">
        <v>3100</v>
      </c>
      <c r="F2920">
        <v>3</v>
      </c>
      <c r="G2920" s="32">
        <v>2</v>
      </c>
      <c r="H2920">
        <v>2</v>
      </c>
      <c r="J2920" t="s">
        <v>47</v>
      </c>
      <c r="K2920" t="s">
        <v>33</v>
      </c>
      <c r="L2920" t="s">
        <v>28</v>
      </c>
    </row>
    <row r="2921" spans="2:12" ht="15.75" customHeight="1">
      <c r="D2921" s="34" t="s">
        <v>126</v>
      </c>
      <c r="E2921">
        <v>3110</v>
      </c>
      <c r="F2921">
        <v>1</v>
      </c>
      <c r="H2921">
        <v>1</v>
      </c>
      <c r="J2921" t="s">
        <v>57</v>
      </c>
      <c r="K2921" t="s">
        <v>34</v>
      </c>
      <c r="L2921" t="s">
        <v>28</v>
      </c>
    </row>
    <row r="2922" spans="2:12" ht="15.75" customHeight="1">
      <c r="D2922" s="34" t="s">
        <v>126</v>
      </c>
      <c r="E2922">
        <v>3120</v>
      </c>
      <c r="F2922">
        <v>1</v>
      </c>
      <c r="H2922">
        <v>1</v>
      </c>
      <c r="J2922" t="s">
        <v>19</v>
      </c>
      <c r="K2922" t="s">
        <v>20</v>
      </c>
      <c r="L2922" t="s">
        <v>26</v>
      </c>
    </row>
    <row r="2923" spans="2:12" ht="15.75" customHeight="1">
      <c r="D2923" s="34" t="s">
        <v>126</v>
      </c>
      <c r="E2923">
        <v>3120</v>
      </c>
      <c r="F2923">
        <v>2</v>
      </c>
      <c r="H2923">
        <v>1</v>
      </c>
      <c r="J2923" t="s">
        <v>53</v>
      </c>
      <c r="K2923" t="s">
        <v>34</v>
      </c>
      <c r="L2923" t="s">
        <v>28</v>
      </c>
    </row>
    <row r="2924" spans="2:12" ht="15.75" customHeight="1">
      <c r="B2924" t="s">
        <v>99</v>
      </c>
      <c r="C2924" s="3" t="s">
        <v>100</v>
      </c>
      <c r="D2924" s="1" t="s">
        <v>126</v>
      </c>
      <c r="E2924">
        <v>3130</v>
      </c>
      <c r="F2924">
        <v>1</v>
      </c>
      <c r="G2924" s="32">
        <v>1</v>
      </c>
      <c r="H2924">
        <v>1</v>
      </c>
      <c r="J2924" t="s">
        <v>19</v>
      </c>
      <c r="K2924" t="s">
        <v>20</v>
      </c>
      <c r="L2924" t="s">
        <v>26</v>
      </c>
    </row>
    <row r="2925" spans="2:12" ht="15.75" customHeight="1">
      <c r="B2925" t="s">
        <v>99</v>
      </c>
      <c r="C2925" s="3" t="s">
        <v>100</v>
      </c>
      <c r="D2925" s="1" t="s">
        <v>126</v>
      </c>
      <c r="E2925">
        <v>3140</v>
      </c>
      <c r="F2925">
        <v>1</v>
      </c>
      <c r="G2925" s="32">
        <v>1</v>
      </c>
      <c r="H2925">
        <v>1</v>
      </c>
      <c r="J2925" t="s">
        <v>19</v>
      </c>
      <c r="K2925" t="s">
        <v>20</v>
      </c>
      <c r="L2925" t="s">
        <v>26</v>
      </c>
    </row>
    <row r="2926" spans="2:12" ht="15.75" customHeight="1">
      <c r="B2926" t="s">
        <v>99</v>
      </c>
      <c r="C2926" s="3" t="s">
        <v>100</v>
      </c>
      <c r="D2926" s="1" t="s">
        <v>126</v>
      </c>
      <c r="E2926">
        <v>3150</v>
      </c>
      <c r="F2926">
        <v>1</v>
      </c>
      <c r="G2926" s="32">
        <v>1</v>
      </c>
      <c r="H2926">
        <v>1</v>
      </c>
      <c r="J2926" t="s">
        <v>19</v>
      </c>
      <c r="K2926" t="s">
        <v>20</v>
      </c>
      <c r="L2926" t="s">
        <v>26</v>
      </c>
    </row>
    <row r="2927" spans="2:12" ht="15.75" customHeight="1">
      <c r="D2927" s="34" t="s">
        <v>126</v>
      </c>
      <c r="E2927">
        <v>3160</v>
      </c>
      <c r="F2927">
        <v>1</v>
      </c>
      <c r="H2927">
        <v>2</v>
      </c>
      <c r="J2927" t="s">
        <v>38</v>
      </c>
      <c r="K2927" t="s">
        <v>34</v>
      </c>
      <c r="L2927" t="s">
        <v>28</v>
      </c>
    </row>
    <row r="2928" spans="2:12" ht="15.75" customHeight="1">
      <c r="D2928" s="34" t="s">
        <v>126</v>
      </c>
      <c r="E2928">
        <v>3170</v>
      </c>
      <c r="F2928">
        <v>1</v>
      </c>
      <c r="H2928">
        <v>0</v>
      </c>
      <c r="J2928" t="s">
        <v>57</v>
      </c>
      <c r="L2928" t="s">
        <v>28</v>
      </c>
    </row>
    <row r="2929" spans="2:12" ht="15.75" customHeight="1">
      <c r="D2929" s="34" t="s">
        <v>126</v>
      </c>
      <c r="E2929">
        <v>3180</v>
      </c>
      <c r="F2929">
        <v>1</v>
      </c>
      <c r="H2929">
        <v>1</v>
      </c>
      <c r="J2929" t="s">
        <v>19</v>
      </c>
      <c r="K2929" t="s">
        <v>20</v>
      </c>
      <c r="L2929" t="s">
        <v>26</v>
      </c>
    </row>
    <row r="2930" spans="2:12" ht="15.75" customHeight="1">
      <c r="B2930" t="s">
        <v>99</v>
      </c>
      <c r="C2930" s="3" t="s">
        <v>100</v>
      </c>
      <c r="D2930" s="1" t="s">
        <v>126</v>
      </c>
      <c r="E2930">
        <v>3190</v>
      </c>
      <c r="F2930">
        <v>1</v>
      </c>
      <c r="G2930" s="32">
        <v>1</v>
      </c>
      <c r="H2930">
        <v>1</v>
      </c>
      <c r="J2930" t="s">
        <v>19</v>
      </c>
      <c r="K2930" t="s">
        <v>20</v>
      </c>
      <c r="L2930" t="s">
        <v>26</v>
      </c>
    </row>
    <row r="2931" spans="2:12" ht="15.75" customHeight="1">
      <c r="B2931" t="s">
        <v>99</v>
      </c>
      <c r="C2931" s="3" t="s">
        <v>100</v>
      </c>
      <c r="D2931" s="1" t="s">
        <v>126</v>
      </c>
      <c r="E2931">
        <v>3200</v>
      </c>
      <c r="F2931">
        <v>1</v>
      </c>
      <c r="G2931" s="32">
        <v>3</v>
      </c>
      <c r="H2931">
        <v>0</v>
      </c>
      <c r="J2931" t="s">
        <v>19</v>
      </c>
      <c r="L2931" t="s">
        <v>26</v>
      </c>
    </row>
    <row r="2932" spans="2:12" ht="15.75" customHeight="1">
      <c r="B2932" t="s">
        <v>99</v>
      </c>
      <c r="C2932" s="3" t="s">
        <v>100</v>
      </c>
      <c r="D2932" s="1" t="s">
        <v>126</v>
      </c>
      <c r="E2932">
        <v>3200</v>
      </c>
      <c r="F2932">
        <v>2</v>
      </c>
      <c r="G2932" s="32">
        <v>2</v>
      </c>
      <c r="H2932">
        <v>1</v>
      </c>
      <c r="J2932" t="s">
        <v>19</v>
      </c>
      <c r="K2932" t="s">
        <v>20</v>
      </c>
      <c r="L2932" t="s">
        <v>26</v>
      </c>
    </row>
    <row r="2933" spans="2:12" ht="15.75" customHeight="1">
      <c r="B2933" t="s">
        <v>99</v>
      </c>
      <c r="C2933" s="3" t="s">
        <v>100</v>
      </c>
      <c r="D2933" s="1" t="s">
        <v>126</v>
      </c>
      <c r="E2933">
        <v>3200</v>
      </c>
      <c r="F2933">
        <v>3</v>
      </c>
      <c r="G2933" s="32">
        <v>0</v>
      </c>
      <c r="H2933">
        <v>0</v>
      </c>
      <c r="J2933" t="s">
        <v>35</v>
      </c>
      <c r="L2933" t="s">
        <v>28</v>
      </c>
    </row>
    <row r="2934" spans="2:12" ht="15.75" customHeight="1">
      <c r="D2934" s="34" t="s">
        <v>126</v>
      </c>
      <c r="E2934">
        <v>3210</v>
      </c>
      <c r="I2934" t="s">
        <v>56</v>
      </c>
    </row>
    <row r="2935" spans="2:12" ht="15.75" customHeight="1">
      <c r="B2935" t="s">
        <v>99</v>
      </c>
      <c r="C2935" s="3" t="s">
        <v>100</v>
      </c>
      <c r="D2935" s="1" t="s">
        <v>126</v>
      </c>
      <c r="E2935">
        <v>3220</v>
      </c>
      <c r="F2935">
        <v>1</v>
      </c>
      <c r="G2935" s="32">
        <v>1</v>
      </c>
      <c r="H2935">
        <v>1</v>
      </c>
      <c r="J2935" t="s">
        <v>19</v>
      </c>
      <c r="K2935" t="s">
        <v>20</v>
      </c>
      <c r="L2935" t="s">
        <v>26</v>
      </c>
    </row>
    <row r="2936" spans="2:12" ht="15.75" customHeight="1">
      <c r="B2936" t="s">
        <v>99</v>
      </c>
      <c r="C2936" s="3" t="s">
        <v>100</v>
      </c>
      <c r="D2936" s="1" t="s">
        <v>126</v>
      </c>
      <c r="E2936">
        <v>3220</v>
      </c>
      <c r="F2936">
        <v>2</v>
      </c>
      <c r="G2936" s="32">
        <v>0</v>
      </c>
      <c r="H2936">
        <v>0</v>
      </c>
      <c r="J2936" t="s">
        <v>35</v>
      </c>
      <c r="L2936" t="s">
        <v>28</v>
      </c>
    </row>
    <row r="2937" spans="2:12" ht="15.75" customHeight="1">
      <c r="D2937" s="34" t="s">
        <v>126</v>
      </c>
      <c r="E2937">
        <v>3230</v>
      </c>
      <c r="F2937">
        <v>1</v>
      </c>
      <c r="H2937">
        <v>1</v>
      </c>
      <c r="J2937" t="s">
        <v>19</v>
      </c>
      <c r="K2937" t="s">
        <v>20</v>
      </c>
      <c r="L2937" t="s">
        <v>26</v>
      </c>
    </row>
    <row r="2938" spans="2:12" ht="15.75" customHeight="1">
      <c r="D2938" s="34" t="s">
        <v>126</v>
      </c>
      <c r="E2938">
        <v>3230</v>
      </c>
      <c r="F2938">
        <v>2</v>
      </c>
      <c r="H2938">
        <v>2</v>
      </c>
      <c r="J2938" t="s">
        <v>38</v>
      </c>
      <c r="K2938" t="s">
        <v>34</v>
      </c>
      <c r="L2938" t="s">
        <v>28</v>
      </c>
    </row>
    <row r="2939" spans="2:12" ht="15.75" customHeight="1">
      <c r="D2939" s="34" t="s">
        <v>126</v>
      </c>
      <c r="E2939">
        <v>3240</v>
      </c>
      <c r="F2939">
        <v>1</v>
      </c>
      <c r="H2939">
        <v>1</v>
      </c>
      <c r="J2939" t="s">
        <v>19</v>
      </c>
      <c r="K2939" t="s">
        <v>20</v>
      </c>
      <c r="L2939" t="s">
        <v>26</v>
      </c>
    </row>
    <row r="2940" spans="2:12" ht="15.75" customHeight="1">
      <c r="D2940" s="34" t="s">
        <v>126</v>
      </c>
      <c r="E2940">
        <v>3240</v>
      </c>
      <c r="F2940">
        <v>2</v>
      </c>
      <c r="H2940">
        <v>0</v>
      </c>
      <c r="J2940" t="s">
        <v>42</v>
      </c>
      <c r="L2940" t="s">
        <v>26</v>
      </c>
    </row>
    <row r="2941" spans="2:12" ht="15.75" customHeight="1">
      <c r="D2941" s="34" t="s">
        <v>126</v>
      </c>
      <c r="E2941">
        <v>3240</v>
      </c>
      <c r="F2941">
        <v>3</v>
      </c>
      <c r="H2941">
        <v>2</v>
      </c>
      <c r="J2941" t="s">
        <v>38</v>
      </c>
      <c r="K2941" t="s">
        <v>34</v>
      </c>
      <c r="L2941" t="s">
        <v>28</v>
      </c>
    </row>
    <row r="2942" spans="2:12" ht="15.75" customHeight="1">
      <c r="D2942" s="34" t="s">
        <v>126</v>
      </c>
      <c r="E2942">
        <v>3250</v>
      </c>
      <c r="F2942">
        <v>1</v>
      </c>
      <c r="H2942">
        <v>1</v>
      </c>
      <c r="J2942" t="s">
        <v>19</v>
      </c>
      <c r="K2942" t="s">
        <v>20</v>
      </c>
      <c r="L2942" t="s">
        <v>26</v>
      </c>
    </row>
    <row r="2943" spans="2:12" ht="15.75" customHeight="1">
      <c r="D2943" s="34" t="s">
        <v>126</v>
      </c>
      <c r="E2943">
        <v>3250</v>
      </c>
      <c r="F2943">
        <v>2</v>
      </c>
      <c r="H2943">
        <v>2</v>
      </c>
      <c r="J2943" t="s">
        <v>38</v>
      </c>
      <c r="K2943" t="s">
        <v>34</v>
      </c>
      <c r="L2943" t="s">
        <v>28</v>
      </c>
    </row>
    <row r="2944" spans="2:12" ht="15.75" customHeight="1">
      <c r="D2944" s="34" t="s">
        <v>126</v>
      </c>
      <c r="E2944">
        <v>3260</v>
      </c>
      <c r="F2944">
        <v>1</v>
      </c>
      <c r="H2944">
        <v>1</v>
      </c>
      <c r="J2944" t="s">
        <v>19</v>
      </c>
      <c r="K2944" t="s">
        <v>20</v>
      </c>
      <c r="L2944" t="s">
        <v>26</v>
      </c>
    </row>
    <row r="2945" spans="2:12" ht="15.75" customHeight="1">
      <c r="D2945" s="34" t="s">
        <v>126</v>
      </c>
      <c r="E2945">
        <v>3270</v>
      </c>
      <c r="F2945">
        <v>1</v>
      </c>
      <c r="H2945">
        <v>1</v>
      </c>
      <c r="J2945" t="s">
        <v>19</v>
      </c>
      <c r="K2945" t="s">
        <v>20</v>
      </c>
      <c r="L2945" t="s">
        <v>26</v>
      </c>
    </row>
    <row r="2946" spans="2:12" ht="15.75" customHeight="1">
      <c r="D2946" s="34" t="s">
        <v>126</v>
      </c>
      <c r="E2946">
        <v>3280</v>
      </c>
      <c r="F2946">
        <v>1</v>
      </c>
      <c r="H2946">
        <v>1</v>
      </c>
      <c r="J2946" t="s">
        <v>19</v>
      </c>
      <c r="K2946" t="s">
        <v>20</v>
      </c>
      <c r="L2946" t="s">
        <v>26</v>
      </c>
    </row>
    <row r="2947" spans="2:12" ht="15.75" customHeight="1">
      <c r="D2947" s="34" t="s">
        <v>126</v>
      </c>
      <c r="E2947">
        <v>3280</v>
      </c>
      <c r="F2947">
        <v>2</v>
      </c>
      <c r="H2947">
        <v>1</v>
      </c>
      <c r="J2947" t="s">
        <v>53</v>
      </c>
      <c r="K2947" t="s">
        <v>34</v>
      </c>
      <c r="L2947" t="s">
        <v>28</v>
      </c>
    </row>
    <row r="2948" spans="2:12" ht="15.75" customHeight="1">
      <c r="D2948" s="34" t="s">
        <v>126</v>
      </c>
      <c r="E2948">
        <v>3290</v>
      </c>
      <c r="F2948">
        <v>1</v>
      </c>
      <c r="H2948">
        <v>1</v>
      </c>
      <c r="J2948" t="s">
        <v>19</v>
      </c>
      <c r="K2948" t="s">
        <v>20</v>
      </c>
      <c r="L2948" t="s">
        <v>26</v>
      </c>
    </row>
    <row r="2949" spans="2:12" ht="15.75" customHeight="1">
      <c r="D2949" s="34" t="s">
        <v>126</v>
      </c>
      <c r="E2949">
        <v>3290</v>
      </c>
      <c r="F2949">
        <v>2</v>
      </c>
      <c r="H2949">
        <v>1</v>
      </c>
      <c r="I2949" t="s">
        <v>134</v>
      </c>
      <c r="J2949" t="s">
        <v>57</v>
      </c>
      <c r="K2949" t="s">
        <v>34</v>
      </c>
      <c r="L2949" t="s">
        <v>28</v>
      </c>
    </row>
    <row r="2950" spans="2:12" ht="15.75" customHeight="1">
      <c r="D2950" s="34" t="s">
        <v>126</v>
      </c>
      <c r="E2950">
        <v>3300</v>
      </c>
      <c r="F2950">
        <v>1</v>
      </c>
      <c r="H2950">
        <v>1</v>
      </c>
      <c r="J2950" t="s">
        <v>57</v>
      </c>
      <c r="L2950" t="s">
        <v>28</v>
      </c>
    </row>
    <row r="2951" spans="2:12" ht="15.75" customHeight="1">
      <c r="D2951" s="34" t="s">
        <v>126</v>
      </c>
      <c r="E2951">
        <v>3310</v>
      </c>
      <c r="F2951">
        <v>1</v>
      </c>
      <c r="H2951">
        <v>1</v>
      </c>
      <c r="J2951" t="s">
        <v>19</v>
      </c>
      <c r="K2951" t="s">
        <v>20</v>
      </c>
      <c r="L2951" t="s">
        <v>26</v>
      </c>
    </row>
    <row r="2952" spans="2:12" ht="15.75" customHeight="1">
      <c r="D2952" s="34" t="s">
        <v>126</v>
      </c>
      <c r="E2952">
        <v>3310</v>
      </c>
      <c r="F2952">
        <v>1</v>
      </c>
      <c r="H2952">
        <v>2</v>
      </c>
      <c r="J2952" t="s">
        <v>57</v>
      </c>
      <c r="K2952" t="s">
        <v>34</v>
      </c>
      <c r="L2952" t="s">
        <v>28</v>
      </c>
    </row>
    <row r="2953" spans="2:12" ht="15.75" customHeight="1">
      <c r="D2953" s="34" t="s">
        <v>126</v>
      </c>
      <c r="E2953">
        <v>3320</v>
      </c>
      <c r="F2953">
        <v>1</v>
      </c>
      <c r="H2953">
        <v>1</v>
      </c>
      <c r="J2953" t="s">
        <v>19</v>
      </c>
      <c r="K2953" t="s">
        <v>20</v>
      </c>
      <c r="L2953" t="s">
        <v>26</v>
      </c>
    </row>
    <row r="2954" spans="2:12" ht="15.75" customHeight="1">
      <c r="B2954" t="s">
        <v>99</v>
      </c>
      <c r="C2954" s="3" t="s">
        <v>100</v>
      </c>
      <c r="D2954" s="1" t="s">
        <v>126</v>
      </c>
      <c r="E2954">
        <v>3330</v>
      </c>
      <c r="F2954">
        <v>1</v>
      </c>
      <c r="G2954" s="32">
        <v>3</v>
      </c>
      <c r="H2954">
        <v>0</v>
      </c>
      <c r="J2954" s="12" t="s">
        <v>46</v>
      </c>
    </row>
    <row r="2955" spans="2:12" ht="15.75" customHeight="1">
      <c r="B2955" t="s">
        <v>99</v>
      </c>
      <c r="C2955" s="3" t="s">
        <v>100</v>
      </c>
      <c r="D2955" s="1" t="s">
        <v>126</v>
      </c>
      <c r="E2955">
        <v>3330</v>
      </c>
      <c r="F2955">
        <v>2</v>
      </c>
      <c r="G2955" s="32">
        <v>2</v>
      </c>
      <c r="H2955">
        <v>1</v>
      </c>
      <c r="J2955" t="s">
        <v>19</v>
      </c>
      <c r="K2955" t="s">
        <v>20</v>
      </c>
      <c r="L2955" t="s">
        <v>26</v>
      </c>
    </row>
    <row r="2956" spans="2:12" ht="15.75" customHeight="1">
      <c r="B2956" t="s">
        <v>99</v>
      </c>
      <c r="C2956" s="3" t="s">
        <v>100</v>
      </c>
      <c r="D2956" s="1" t="s">
        <v>126</v>
      </c>
      <c r="E2956">
        <v>3330</v>
      </c>
      <c r="F2956">
        <v>3</v>
      </c>
      <c r="G2956" s="32">
        <v>2</v>
      </c>
      <c r="H2956">
        <v>2</v>
      </c>
      <c r="J2956" t="s">
        <v>35</v>
      </c>
      <c r="K2956" t="s">
        <v>36</v>
      </c>
      <c r="L2956" t="s">
        <v>28</v>
      </c>
    </row>
    <row r="2957" spans="2:12" ht="15.75" customHeight="1">
      <c r="D2957" s="34" t="s">
        <v>126</v>
      </c>
      <c r="E2957">
        <v>3340</v>
      </c>
      <c r="F2957">
        <v>1</v>
      </c>
      <c r="H2957">
        <v>1</v>
      </c>
      <c r="J2957" t="s">
        <v>19</v>
      </c>
      <c r="K2957" t="s">
        <v>20</v>
      </c>
      <c r="L2957" t="s">
        <v>26</v>
      </c>
    </row>
    <row r="2958" spans="2:12" ht="15.75" customHeight="1">
      <c r="D2958" s="34" t="s">
        <v>126</v>
      </c>
      <c r="E2958">
        <v>3340</v>
      </c>
      <c r="F2958">
        <v>2</v>
      </c>
      <c r="H2958">
        <v>0</v>
      </c>
      <c r="J2958" t="s">
        <v>38</v>
      </c>
      <c r="L2958" t="s">
        <v>28</v>
      </c>
    </row>
    <row r="2959" spans="2:12" ht="15.75" customHeight="1">
      <c r="B2959" t="s">
        <v>99</v>
      </c>
      <c r="C2959" s="3" t="s">
        <v>100</v>
      </c>
      <c r="D2959" s="1" t="s">
        <v>126</v>
      </c>
      <c r="E2959">
        <v>3350</v>
      </c>
      <c r="F2959">
        <v>1</v>
      </c>
      <c r="G2959" s="32">
        <v>2</v>
      </c>
      <c r="H2959">
        <v>1</v>
      </c>
      <c r="J2959" s="12" t="s">
        <v>19</v>
      </c>
      <c r="K2959" t="s">
        <v>20</v>
      </c>
      <c r="L2959" t="s">
        <v>26</v>
      </c>
    </row>
    <row r="2960" spans="2:12" ht="15.75" customHeight="1">
      <c r="B2960" t="s">
        <v>99</v>
      </c>
      <c r="C2960" s="3" t="s">
        <v>100</v>
      </c>
      <c r="D2960" s="1" t="s">
        <v>126</v>
      </c>
      <c r="E2960">
        <v>3350</v>
      </c>
      <c r="F2960">
        <v>2</v>
      </c>
      <c r="G2960" s="32">
        <v>3</v>
      </c>
      <c r="H2960">
        <v>0</v>
      </c>
      <c r="J2960" t="s">
        <v>19</v>
      </c>
      <c r="L2960" t="s">
        <v>26</v>
      </c>
    </row>
    <row r="2961" spans="2:12" ht="15.75" customHeight="1">
      <c r="B2961" t="s">
        <v>99</v>
      </c>
      <c r="C2961" s="3" t="s">
        <v>100</v>
      </c>
      <c r="D2961" s="1" t="s">
        <v>126</v>
      </c>
      <c r="E2961">
        <v>3350</v>
      </c>
      <c r="F2961">
        <v>3</v>
      </c>
      <c r="G2961" s="32">
        <v>0</v>
      </c>
      <c r="H2961">
        <v>0</v>
      </c>
      <c r="J2961" t="s">
        <v>47</v>
      </c>
      <c r="L2961" t="s">
        <v>28</v>
      </c>
    </row>
    <row r="2962" spans="2:12" ht="15.75" customHeight="1">
      <c r="D2962" s="34" t="s">
        <v>126</v>
      </c>
      <c r="E2962">
        <v>3360</v>
      </c>
      <c r="F2962">
        <v>0</v>
      </c>
    </row>
    <row r="2963" spans="2:12" ht="15.75" customHeight="1">
      <c r="D2963" s="34" t="s">
        <v>126</v>
      </c>
      <c r="E2963">
        <v>3370</v>
      </c>
      <c r="F2963">
        <v>1</v>
      </c>
      <c r="H2963">
        <v>2</v>
      </c>
      <c r="J2963" t="s">
        <v>30</v>
      </c>
      <c r="K2963" t="s">
        <v>34</v>
      </c>
      <c r="L2963" t="s">
        <v>28</v>
      </c>
    </row>
    <row r="2964" spans="2:12" ht="15.75" customHeight="1">
      <c r="B2964" t="s">
        <v>99</v>
      </c>
      <c r="C2964" s="3" t="s">
        <v>100</v>
      </c>
      <c r="D2964" s="1" t="s">
        <v>126</v>
      </c>
      <c r="E2964">
        <v>3380</v>
      </c>
      <c r="F2964">
        <v>1</v>
      </c>
      <c r="G2964" s="32">
        <v>1</v>
      </c>
      <c r="H2964">
        <v>2</v>
      </c>
      <c r="J2964" s="12" t="s">
        <v>132</v>
      </c>
      <c r="K2964" t="s">
        <v>37</v>
      </c>
      <c r="L2964" t="s">
        <v>28</v>
      </c>
    </row>
    <row r="2965" spans="2:12" ht="15.75" customHeight="1">
      <c r="D2965" s="34" t="s">
        <v>126</v>
      </c>
      <c r="E2965">
        <v>3390</v>
      </c>
      <c r="F2965">
        <v>1</v>
      </c>
      <c r="H2965">
        <v>2</v>
      </c>
      <c r="J2965" t="s">
        <v>57</v>
      </c>
      <c r="K2965" t="s">
        <v>34</v>
      </c>
      <c r="L2965" t="s">
        <v>28</v>
      </c>
    </row>
    <row r="2966" spans="2:12" ht="15.75" customHeight="1">
      <c r="B2966" t="s">
        <v>99</v>
      </c>
      <c r="C2966" s="3" t="s">
        <v>100</v>
      </c>
      <c r="D2966" s="1" t="s">
        <v>126</v>
      </c>
      <c r="E2966">
        <v>3400</v>
      </c>
      <c r="F2966">
        <v>1</v>
      </c>
      <c r="G2966" s="32">
        <v>3</v>
      </c>
      <c r="H2966">
        <v>0</v>
      </c>
      <c r="J2966" s="12" t="s">
        <v>46</v>
      </c>
    </row>
    <row r="2967" spans="2:12" ht="15.75" customHeight="1">
      <c r="B2967" t="s">
        <v>99</v>
      </c>
      <c r="C2967" s="3" t="s">
        <v>100</v>
      </c>
      <c r="D2967" s="1" t="s">
        <v>126</v>
      </c>
      <c r="E2967">
        <v>3400</v>
      </c>
      <c r="F2967">
        <v>2</v>
      </c>
      <c r="G2967" s="32">
        <v>2</v>
      </c>
      <c r="H2967">
        <v>1</v>
      </c>
      <c r="J2967" t="s">
        <v>47</v>
      </c>
      <c r="K2967" t="s">
        <v>33</v>
      </c>
      <c r="L2967" t="s">
        <v>28</v>
      </c>
    </row>
    <row r="2968" spans="2:12" ht="15.75" customHeight="1">
      <c r="D2968" s="34" t="s">
        <v>126</v>
      </c>
      <c r="E2968">
        <v>3410</v>
      </c>
      <c r="F2968">
        <v>1</v>
      </c>
      <c r="I2968" t="s">
        <v>85</v>
      </c>
    </row>
    <row r="2969" spans="2:12" ht="15.75" customHeight="1">
      <c r="D2969" s="34" t="s">
        <v>126</v>
      </c>
      <c r="E2969">
        <v>3420</v>
      </c>
      <c r="F2969">
        <v>1</v>
      </c>
      <c r="H2969">
        <v>0</v>
      </c>
      <c r="J2969" t="s">
        <v>19</v>
      </c>
      <c r="L2969" t="s">
        <v>28</v>
      </c>
    </row>
    <row r="2970" spans="2:12" ht="15.75" customHeight="1">
      <c r="D2970" s="34" t="s">
        <v>126</v>
      </c>
      <c r="E2970">
        <v>3420</v>
      </c>
      <c r="F2970">
        <v>2</v>
      </c>
      <c r="H2970">
        <v>0</v>
      </c>
      <c r="J2970" t="s">
        <v>42</v>
      </c>
      <c r="L2970" t="s">
        <v>26</v>
      </c>
    </row>
    <row r="2971" spans="2:12" ht="15.75" customHeight="1">
      <c r="D2971" s="34" t="s">
        <v>126</v>
      </c>
      <c r="E2971">
        <v>3420</v>
      </c>
      <c r="F2971">
        <v>3</v>
      </c>
      <c r="H2971">
        <v>2</v>
      </c>
      <c r="J2971" t="s">
        <v>57</v>
      </c>
      <c r="L2971" t="s">
        <v>28</v>
      </c>
    </row>
    <row r="2972" spans="2:12" ht="15.75" customHeight="1">
      <c r="D2972" s="34" t="s">
        <v>126</v>
      </c>
      <c r="E2972">
        <v>3430</v>
      </c>
      <c r="F2972">
        <v>1</v>
      </c>
      <c r="H2972">
        <v>1</v>
      </c>
      <c r="J2972" t="s">
        <v>19</v>
      </c>
      <c r="K2972" t="s">
        <v>20</v>
      </c>
      <c r="L2972" t="s">
        <v>26</v>
      </c>
    </row>
    <row r="2973" spans="2:12" ht="15.75" customHeight="1">
      <c r="D2973" s="34" t="s">
        <v>126</v>
      </c>
      <c r="E2973">
        <v>3430</v>
      </c>
      <c r="F2973">
        <v>2</v>
      </c>
      <c r="H2973">
        <v>0</v>
      </c>
      <c r="J2973" t="s">
        <v>57</v>
      </c>
      <c r="K2973" t="s">
        <v>34</v>
      </c>
      <c r="L2973" t="s">
        <v>28</v>
      </c>
    </row>
    <row r="2974" spans="2:12" ht="15.75" customHeight="1">
      <c r="D2974" s="34" t="s">
        <v>126</v>
      </c>
      <c r="E2974">
        <v>3440</v>
      </c>
      <c r="F2974">
        <v>1</v>
      </c>
      <c r="H2974">
        <v>1</v>
      </c>
      <c r="J2974" t="s">
        <v>19</v>
      </c>
      <c r="K2974" t="s">
        <v>20</v>
      </c>
      <c r="L2974" t="s">
        <v>26</v>
      </c>
    </row>
    <row r="2975" spans="2:12" ht="15.75" customHeight="1">
      <c r="D2975" s="34" t="s">
        <v>126</v>
      </c>
      <c r="E2975">
        <v>3440</v>
      </c>
      <c r="F2975">
        <v>2</v>
      </c>
      <c r="H2975">
        <v>2</v>
      </c>
      <c r="J2975" t="s">
        <v>57</v>
      </c>
      <c r="K2975" t="s">
        <v>34</v>
      </c>
      <c r="L2975" t="s">
        <v>28</v>
      </c>
    </row>
    <row r="2976" spans="2:12" ht="15.75" customHeight="1">
      <c r="D2976" s="34" t="s">
        <v>126</v>
      </c>
      <c r="E2976">
        <v>3450</v>
      </c>
      <c r="F2976">
        <v>1</v>
      </c>
      <c r="H2976">
        <v>1</v>
      </c>
      <c r="J2976" t="s">
        <v>19</v>
      </c>
      <c r="K2976" t="s">
        <v>20</v>
      </c>
      <c r="L2976" t="s">
        <v>26</v>
      </c>
    </row>
    <row r="2977" spans="2:12" ht="15.75" customHeight="1">
      <c r="B2977" t="s">
        <v>99</v>
      </c>
      <c r="C2977" s="3" t="s">
        <v>100</v>
      </c>
      <c r="D2977" s="1" t="s">
        <v>126</v>
      </c>
      <c r="E2977">
        <v>3460</v>
      </c>
      <c r="F2977">
        <v>1</v>
      </c>
      <c r="G2977" s="32">
        <v>1</v>
      </c>
      <c r="H2977">
        <v>1</v>
      </c>
      <c r="J2977" t="s">
        <v>19</v>
      </c>
      <c r="K2977" t="s">
        <v>20</v>
      </c>
      <c r="L2977" t="s">
        <v>26</v>
      </c>
    </row>
    <row r="2978" spans="2:12" ht="15.75" customHeight="1">
      <c r="B2978" t="s">
        <v>99</v>
      </c>
      <c r="C2978" s="3" t="s">
        <v>100</v>
      </c>
      <c r="D2978" s="1" t="s">
        <v>126</v>
      </c>
      <c r="E2978">
        <v>3460</v>
      </c>
      <c r="F2978">
        <v>2</v>
      </c>
      <c r="G2978" s="32">
        <v>0</v>
      </c>
      <c r="H2978">
        <v>0</v>
      </c>
      <c r="J2978" t="s">
        <v>35</v>
      </c>
      <c r="L2978" t="s">
        <v>28</v>
      </c>
    </row>
    <row r="2979" spans="2:12" ht="15.75" customHeight="1">
      <c r="B2979" t="s">
        <v>99</v>
      </c>
      <c r="C2979" s="3" t="s">
        <v>100</v>
      </c>
      <c r="D2979" s="1" t="s">
        <v>126</v>
      </c>
      <c r="E2979">
        <v>3460</v>
      </c>
      <c r="F2979">
        <v>3</v>
      </c>
      <c r="G2979" s="32">
        <v>3</v>
      </c>
      <c r="H2979">
        <v>0</v>
      </c>
      <c r="J2979" s="12" t="s">
        <v>46</v>
      </c>
    </row>
    <row r="2980" spans="2:12" ht="15.75" customHeight="1">
      <c r="D2980" s="34" t="s">
        <v>126</v>
      </c>
      <c r="E2980">
        <v>3470</v>
      </c>
      <c r="I2980" t="s">
        <v>56</v>
      </c>
    </row>
    <row r="2981" spans="2:12" ht="15.75" customHeight="1">
      <c r="D2981" s="34" t="s">
        <v>126</v>
      </c>
      <c r="E2981">
        <v>3480</v>
      </c>
      <c r="F2981">
        <v>1</v>
      </c>
      <c r="H2981">
        <v>0</v>
      </c>
      <c r="J2981" t="s">
        <v>38</v>
      </c>
      <c r="L2981" t="s">
        <v>28</v>
      </c>
    </row>
    <row r="2982" spans="2:12" ht="15.75" customHeight="1">
      <c r="D2982" s="34" t="s">
        <v>126</v>
      </c>
      <c r="E2982">
        <v>3490</v>
      </c>
      <c r="F2982">
        <v>1</v>
      </c>
      <c r="I2982" t="s">
        <v>56</v>
      </c>
    </row>
    <row r="2983" spans="2:12" ht="15.75" customHeight="1">
      <c r="D2983" s="34" t="s">
        <v>126</v>
      </c>
      <c r="E2983">
        <v>3500</v>
      </c>
      <c r="F2983">
        <v>1</v>
      </c>
      <c r="H2983">
        <v>0</v>
      </c>
      <c r="J2983" t="s">
        <v>19</v>
      </c>
      <c r="L2983" t="s">
        <v>26</v>
      </c>
    </row>
    <row r="2984" spans="2:12" ht="15.75" customHeight="1">
      <c r="D2984" s="34" t="s">
        <v>126</v>
      </c>
      <c r="E2984">
        <v>3500</v>
      </c>
      <c r="F2984">
        <v>2</v>
      </c>
      <c r="H2984">
        <v>0</v>
      </c>
      <c r="J2984" t="s">
        <v>42</v>
      </c>
      <c r="L2984" t="s">
        <v>26</v>
      </c>
    </row>
    <row r="2985" spans="2:12" ht="15.75" customHeight="1">
      <c r="D2985" s="34" t="s">
        <v>126</v>
      </c>
      <c r="E2985">
        <v>3500</v>
      </c>
      <c r="F2985">
        <v>3</v>
      </c>
      <c r="H2985">
        <v>2</v>
      </c>
      <c r="J2985" t="s">
        <v>57</v>
      </c>
      <c r="K2985" t="s">
        <v>34</v>
      </c>
      <c r="L2985" t="s">
        <v>28</v>
      </c>
    </row>
    <row r="2986" spans="2:12" ht="15.75" customHeight="1">
      <c r="D2986" s="34" t="s">
        <v>126</v>
      </c>
      <c r="E2986">
        <v>3510</v>
      </c>
      <c r="F2986">
        <v>1</v>
      </c>
      <c r="H2986">
        <v>0</v>
      </c>
      <c r="J2986" t="s">
        <v>19</v>
      </c>
      <c r="L2986" t="s">
        <v>28</v>
      </c>
    </row>
    <row r="2987" spans="2:12" ht="15.75" customHeight="1">
      <c r="D2987" s="34" t="s">
        <v>126</v>
      </c>
      <c r="E2987">
        <v>3510</v>
      </c>
      <c r="F2987">
        <v>2</v>
      </c>
      <c r="H2987">
        <v>0</v>
      </c>
      <c r="J2987" t="s">
        <v>42</v>
      </c>
      <c r="L2987" t="s">
        <v>26</v>
      </c>
    </row>
    <row r="2988" spans="2:12" ht="15.75" customHeight="1">
      <c r="D2988" s="34" t="s">
        <v>126</v>
      </c>
      <c r="E2988">
        <v>3510</v>
      </c>
      <c r="F2988">
        <v>3</v>
      </c>
      <c r="H2988">
        <v>0</v>
      </c>
      <c r="J2988" t="s">
        <v>57</v>
      </c>
      <c r="L2988" t="s">
        <v>28</v>
      </c>
    </row>
    <row r="2989" spans="2:12" ht="15.75" customHeight="1">
      <c r="D2989" s="34" t="s">
        <v>126</v>
      </c>
      <c r="E2989">
        <v>3520</v>
      </c>
      <c r="I2989" t="s">
        <v>56</v>
      </c>
    </row>
    <row r="2990" spans="2:12" ht="15.75" customHeight="1">
      <c r="B2990" t="s">
        <v>99</v>
      </c>
      <c r="C2990" s="3" t="s">
        <v>100</v>
      </c>
      <c r="D2990" s="1" t="s">
        <v>126</v>
      </c>
      <c r="E2990">
        <v>3530</v>
      </c>
      <c r="F2990">
        <v>1</v>
      </c>
      <c r="G2990" s="32">
        <v>1</v>
      </c>
      <c r="H2990">
        <v>1</v>
      </c>
      <c r="J2990" t="s">
        <v>19</v>
      </c>
      <c r="K2990" t="s">
        <v>20</v>
      </c>
      <c r="L2990" t="s">
        <v>26</v>
      </c>
    </row>
    <row r="2991" spans="2:12" ht="15.75" customHeight="1">
      <c r="B2991" t="s">
        <v>99</v>
      </c>
      <c r="C2991" s="3" t="s">
        <v>100</v>
      </c>
      <c r="D2991" s="1" t="s">
        <v>126</v>
      </c>
      <c r="E2991">
        <v>3530</v>
      </c>
      <c r="F2991">
        <v>2</v>
      </c>
      <c r="G2991" s="32">
        <v>2</v>
      </c>
      <c r="H2991">
        <v>2</v>
      </c>
      <c r="J2991" t="s">
        <v>47</v>
      </c>
      <c r="K2991" t="s">
        <v>33</v>
      </c>
      <c r="L2991" t="s">
        <v>28</v>
      </c>
    </row>
    <row r="2992" spans="2:12" ht="15.75" customHeight="1">
      <c r="D2992" s="34" t="s">
        <v>126</v>
      </c>
      <c r="E2992">
        <v>3540</v>
      </c>
      <c r="F2992">
        <v>1</v>
      </c>
      <c r="H2992">
        <v>0</v>
      </c>
      <c r="J2992" t="s">
        <v>19</v>
      </c>
      <c r="L2992" t="s">
        <v>26</v>
      </c>
    </row>
    <row r="2993" spans="2:12" ht="15.75" customHeight="1">
      <c r="D2993" s="34" t="s">
        <v>126</v>
      </c>
      <c r="E2993">
        <v>3540</v>
      </c>
      <c r="F2993">
        <v>2</v>
      </c>
      <c r="H2993">
        <v>2</v>
      </c>
      <c r="J2993" t="s">
        <v>57</v>
      </c>
      <c r="K2993" t="s">
        <v>34</v>
      </c>
      <c r="L2993" t="s">
        <v>28</v>
      </c>
    </row>
    <row r="2994" spans="2:12" ht="15.75" customHeight="1">
      <c r="D2994" s="34" t="s">
        <v>126</v>
      </c>
      <c r="E2994">
        <v>3550</v>
      </c>
      <c r="F2994">
        <v>1</v>
      </c>
      <c r="H2994">
        <v>1</v>
      </c>
      <c r="J2994" t="s">
        <v>19</v>
      </c>
      <c r="K2994" t="s">
        <v>20</v>
      </c>
      <c r="L2994" t="s">
        <v>26</v>
      </c>
    </row>
    <row r="2995" spans="2:12" ht="15.75" customHeight="1">
      <c r="D2995" s="34" t="s">
        <v>126</v>
      </c>
      <c r="E2995">
        <v>3550</v>
      </c>
      <c r="F2995">
        <v>2</v>
      </c>
      <c r="H2995">
        <v>0</v>
      </c>
      <c r="J2995" t="s">
        <v>57</v>
      </c>
      <c r="L2995" t="s">
        <v>28</v>
      </c>
    </row>
    <row r="2996" spans="2:12" ht="15.75" customHeight="1">
      <c r="D2996" s="34" t="s">
        <v>126</v>
      </c>
      <c r="E2996">
        <v>3560</v>
      </c>
      <c r="F2996">
        <v>1</v>
      </c>
      <c r="H2996">
        <v>1</v>
      </c>
      <c r="J2996" t="s">
        <v>19</v>
      </c>
      <c r="K2996" t="s">
        <v>20</v>
      </c>
      <c r="L2996" t="s">
        <v>26</v>
      </c>
    </row>
    <row r="2997" spans="2:12" ht="15.75" customHeight="1">
      <c r="D2997" s="34" t="s">
        <v>126</v>
      </c>
      <c r="E2997">
        <v>3560</v>
      </c>
      <c r="F2997">
        <v>2</v>
      </c>
      <c r="H2997">
        <v>0</v>
      </c>
      <c r="J2997" t="s">
        <v>57</v>
      </c>
      <c r="L2997" t="s">
        <v>28</v>
      </c>
    </row>
    <row r="2998" spans="2:12" ht="15.75" customHeight="1">
      <c r="B2998" t="s">
        <v>99</v>
      </c>
      <c r="C2998" s="3" t="s">
        <v>100</v>
      </c>
      <c r="D2998" s="1" t="s">
        <v>126</v>
      </c>
      <c r="E2998">
        <v>3570</v>
      </c>
      <c r="F2998">
        <v>1</v>
      </c>
      <c r="G2998" s="32">
        <v>1</v>
      </c>
      <c r="H2998">
        <v>1</v>
      </c>
      <c r="J2998" t="s">
        <v>19</v>
      </c>
      <c r="K2998" t="s">
        <v>20</v>
      </c>
      <c r="L2998" t="s">
        <v>26</v>
      </c>
    </row>
    <row r="2999" spans="2:12" ht="15.75" customHeight="1">
      <c r="B2999" t="s">
        <v>99</v>
      </c>
      <c r="C2999" s="3" t="s">
        <v>100</v>
      </c>
      <c r="D2999" s="1" t="s">
        <v>126</v>
      </c>
      <c r="E2999">
        <v>3570</v>
      </c>
      <c r="F2999">
        <v>2</v>
      </c>
      <c r="G2999" s="32">
        <v>2</v>
      </c>
      <c r="H2999">
        <v>1</v>
      </c>
      <c r="J2999" t="s">
        <v>47</v>
      </c>
      <c r="K2999" t="s">
        <v>33</v>
      </c>
      <c r="L2999" t="s">
        <v>28</v>
      </c>
    </row>
    <row r="3000" spans="2:12" ht="15.75" customHeight="1">
      <c r="B3000" t="s">
        <v>99</v>
      </c>
      <c r="C3000" s="3" t="s">
        <v>100</v>
      </c>
      <c r="D3000" s="1" t="s">
        <v>126</v>
      </c>
      <c r="E3000">
        <v>3580</v>
      </c>
      <c r="F3000">
        <v>1</v>
      </c>
      <c r="G3000" s="32">
        <v>2</v>
      </c>
      <c r="H3000">
        <v>1</v>
      </c>
      <c r="J3000" t="s">
        <v>19</v>
      </c>
      <c r="K3000" t="s">
        <v>20</v>
      </c>
      <c r="L3000" t="s">
        <v>26</v>
      </c>
    </row>
    <row r="3001" spans="2:12" ht="15.75" customHeight="1">
      <c r="B3001" t="s">
        <v>99</v>
      </c>
      <c r="C3001" s="3" t="s">
        <v>100</v>
      </c>
      <c r="D3001" s="1" t="s">
        <v>126</v>
      </c>
      <c r="E3001">
        <v>3580</v>
      </c>
      <c r="F3001">
        <v>2</v>
      </c>
      <c r="G3001" s="32">
        <v>1</v>
      </c>
      <c r="H3001">
        <v>2</v>
      </c>
      <c r="J3001" t="s">
        <v>47</v>
      </c>
      <c r="K3001" t="s">
        <v>33</v>
      </c>
      <c r="L3001" t="s">
        <v>28</v>
      </c>
    </row>
    <row r="3002" spans="2:12" ht="15.75" customHeight="1">
      <c r="D3002" s="34" t="s">
        <v>126</v>
      </c>
      <c r="E3002">
        <v>3590</v>
      </c>
      <c r="F3002">
        <v>1</v>
      </c>
      <c r="H3002">
        <v>1</v>
      </c>
      <c r="J3002" t="s">
        <v>19</v>
      </c>
      <c r="K3002" t="s">
        <v>20</v>
      </c>
      <c r="L3002" t="s">
        <v>26</v>
      </c>
    </row>
    <row r="3003" spans="2:12" ht="15.75" customHeight="1">
      <c r="D3003" s="34" t="s">
        <v>126</v>
      </c>
      <c r="E3003">
        <v>3590</v>
      </c>
      <c r="F3003">
        <v>2</v>
      </c>
      <c r="H3003">
        <v>0</v>
      </c>
      <c r="J3003" t="s">
        <v>57</v>
      </c>
      <c r="L3003" t="s">
        <v>28</v>
      </c>
    </row>
    <row r="3004" spans="2:12" ht="15.75" customHeight="1">
      <c r="D3004" s="34" t="s">
        <v>126</v>
      </c>
      <c r="E3004">
        <v>3600</v>
      </c>
      <c r="F3004">
        <v>1</v>
      </c>
      <c r="H3004">
        <v>1</v>
      </c>
      <c r="J3004" t="s">
        <v>19</v>
      </c>
      <c r="K3004" t="s">
        <v>20</v>
      </c>
      <c r="L3004" t="s">
        <v>26</v>
      </c>
    </row>
    <row r="3005" spans="2:12" ht="15.75" customHeight="1">
      <c r="D3005" s="34" t="s">
        <v>126</v>
      </c>
      <c r="E3005">
        <v>3610</v>
      </c>
      <c r="F3005">
        <v>1</v>
      </c>
      <c r="H3005">
        <v>1</v>
      </c>
      <c r="J3005" t="s">
        <v>19</v>
      </c>
      <c r="K3005" t="s">
        <v>20</v>
      </c>
      <c r="L3005" t="s">
        <v>26</v>
      </c>
    </row>
    <row r="3006" spans="2:12" ht="15.75" customHeight="1">
      <c r="D3006" s="34" t="s">
        <v>126</v>
      </c>
      <c r="E3006">
        <v>3620</v>
      </c>
      <c r="F3006">
        <v>0</v>
      </c>
    </row>
    <row r="3007" spans="2:12" ht="15.75" customHeight="1">
      <c r="D3007" s="34" t="s">
        <v>126</v>
      </c>
      <c r="E3007">
        <v>3630</v>
      </c>
      <c r="I3007" t="s">
        <v>56</v>
      </c>
    </row>
    <row r="3008" spans="2:12" ht="15.75" customHeight="1">
      <c r="D3008" s="34" t="s">
        <v>126</v>
      </c>
      <c r="E3008">
        <v>3640</v>
      </c>
      <c r="I3008" t="s">
        <v>56</v>
      </c>
    </row>
    <row r="3009" spans="2:12" ht="15.75" customHeight="1">
      <c r="B3009" t="s">
        <v>99</v>
      </c>
      <c r="C3009" s="3" t="s">
        <v>100</v>
      </c>
      <c r="D3009" s="1" t="s">
        <v>126</v>
      </c>
      <c r="E3009">
        <v>3650</v>
      </c>
      <c r="F3009">
        <v>1</v>
      </c>
      <c r="G3009" s="32">
        <v>1</v>
      </c>
      <c r="H3009">
        <v>1</v>
      </c>
      <c r="J3009" t="s">
        <v>19</v>
      </c>
      <c r="K3009" t="s">
        <v>20</v>
      </c>
      <c r="L3009" t="s">
        <v>26</v>
      </c>
    </row>
    <row r="3010" spans="2:12" ht="15.75" customHeight="1">
      <c r="B3010" t="s">
        <v>99</v>
      </c>
      <c r="C3010" s="3" t="s">
        <v>100</v>
      </c>
      <c r="D3010" s="1" t="s">
        <v>126</v>
      </c>
      <c r="E3010">
        <v>3650</v>
      </c>
      <c r="F3010">
        <v>2</v>
      </c>
      <c r="G3010" s="32">
        <v>2</v>
      </c>
      <c r="H3010">
        <v>2</v>
      </c>
      <c r="J3010" s="12" t="s">
        <v>132</v>
      </c>
      <c r="K3010" t="s">
        <v>37</v>
      </c>
      <c r="L3010" t="s">
        <v>28</v>
      </c>
    </row>
    <row r="3011" spans="2:12" ht="15.75" customHeight="1">
      <c r="D3011" s="34" t="s">
        <v>126</v>
      </c>
      <c r="E3011">
        <v>3660</v>
      </c>
      <c r="I3011" t="s">
        <v>85</v>
      </c>
    </row>
    <row r="3012" spans="2:12" ht="15.75" customHeight="1">
      <c r="B3012" t="s">
        <v>99</v>
      </c>
      <c r="C3012" s="3" t="s">
        <v>100</v>
      </c>
      <c r="D3012" s="1" t="s">
        <v>126</v>
      </c>
      <c r="E3012">
        <v>3670</v>
      </c>
      <c r="F3012">
        <v>1</v>
      </c>
      <c r="G3012" s="32">
        <v>1</v>
      </c>
      <c r="H3012">
        <v>1</v>
      </c>
      <c r="J3012" t="s">
        <v>19</v>
      </c>
      <c r="K3012" t="s">
        <v>20</v>
      </c>
      <c r="L3012" t="s">
        <v>26</v>
      </c>
    </row>
    <row r="3013" spans="2:12" ht="15.75" customHeight="1">
      <c r="B3013" t="s">
        <v>99</v>
      </c>
      <c r="C3013" s="3" t="s">
        <v>100</v>
      </c>
      <c r="D3013" s="1" t="s">
        <v>126</v>
      </c>
      <c r="E3013">
        <v>3670</v>
      </c>
      <c r="F3013">
        <v>2</v>
      </c>
      <c r="G3013" s="32">
        <v>3</v>
      </c>
      <c r="H3013">
        <v>0</v>
      </c>
      <c r="J3013" t="s">
        <v>47</v>
      </c>
      <c r="L3013" t="s">
        <v>28</v>
      </c>
    </row>
    <row r="3014" spans="2:12" ht="15.75" customHeight="1">
      <c r="D3014" s="34" t="s">
        <v>126</v>
      </c>
      <c r="E3014">
        <v>3680</v>
      </c>
      <c r="F3014">
        <v>1</v>
      </c>
      <c r="H3014">
        <v>0</v>
      </c>
      <c r="J3014" t="s">
        <v>19</v>
      </c>
      <c r="L3014" t="s">
        <v>26</v>
      </c>
    </row>
    <row r="3015" spans="2:12" ht="15.75" customHeight="1">
      <c r="D3015" s="34" t="s">
        <v>126</v>
      </c>
      <c r="E3015">
        <v>3680</v>
      </c>
      <c r="F3015">
        <v>2</v>
      </c>
      <c r="H3015">
        <v>1</v>
      </c>
      <c r="J3015" t="s">
        <v>57</v>
      </c>
      <c r="K3015" t="s">
        <v>34</v>
      </c>
      <c r="L3015" t="s">
        <v>28</v>
      </c>
    </row>
    <row r="3016" spans="2:12" ht="15.75" customHeight="1">
      <c r="B3016" t="s">
        <v>99</v>
      </c>
      <c r="C3016" s="3" t="s">
        <v>100</v>
      </c>
      <c r="D3016" s="1" t="s">
        <v>126</v>
      </c>
      <c r="E3016">
        <v>3690</v>
      </c>
      <c r="F3016">
        <v>1</v>
      </c>
      <c r="G3016" s="32">
        <v>1</v>
      </c>
      <c r="H3016">
        <v>1</v>
      </c>
      <c r="J3016" t="s">
        <v>19</v>
      </c>
      <c r="K3016" t="s">
        <v>20</v>
      </c>
      <c r="L3016" t="s">
        <v>26</v>
      </c>
    </row>
    <row r="3017" spans="2:12" ht="15.75" customHeight="1">
      <c r="B3017" t="s">
        <v>99</v>
      </c>
      <c r="C3017" s="3" t="s">
        <v>100</v>
      </c>
      <c r="D3017" s="1" t="s">
        <v>126</v>
      </c>
      <c r="E3017">
        <v>3690</v>
      </c>
      <c r="F3017">
        <v>2</v>
      </c>
      <c r="G3017" s="32">
        <v>2</v>
      </c>
      <c r="H3017">
        <v>2</v>
      </c>
      <c r="J3017" t="s">
        <v>47</v>
      </c>
      <c r="K3017" t="s">
        <v>33</v>
      </c>
      <c r="L3017" t="s">
        <v>28</v>
      </c>
    </row>
    <row r="3018" spans="2:12" ht="15.75" customHeight="1">
      <c r="B3018" t="s">
        <v>99</v>
      </c>
      <c r="C3018" s="3" t="s">
        <v>100</v>
      </c>
      <c r="D3018" s="1" t="s">
        <v>126</v>
      </c>
      <c r="E3018">
        <v>3700</v>
      </c>
      <c r="F3018">
        <v>1</v>
      </c>
      <c r="G3018" s="32">
        <v>1</v>
      </c>
      <c r="H3018">
        <v>1</v>
      </c>
      <c r="J3018" t="s">
        <v>19</v>
      </c>
      <c r="K3018" t="s">
        <v>20</v>
      </c>
      <c r="L3018" t="s">
        <v>26</v>
      </c>
    </row>
    <row r="3019" spans="2:12" ht="15.75" customHeight="1">
      <c r="B3019" t="s">
        <v>99</v>
      </c>
      <c r="C3019" s="3" t="s">
        <v>100</v>
      </c>
      <c r="D3019" s="1" t="s">
        <v>126</v>
      </c>
      <c r="E3019">
        <v>3700</v>
      </c>
      <c r="F3019">
        <v>2</v>
      </c>
      <c r="G3019" s="32">
        <v>0</v>
      </c>
      <c r="H3019">
        <v>0</v>
      </c>
      <c r="J3019" t="s">
        <v>47</v>
      </c>
      <c r="L3019" t="s">
        <v>28</v>
      </c>
    </row>
    <row r="3020" spans="2:12" ht="15.75" customHeight="1">
      <c r="D3020" s="34" t="s">
        <v>126</v>
      </c>
      <c r="E3020">
        <v>3710</v>
      </c>
      <c r="F3020">
        <v>1</v>
      </c>
      <c r="H3020">
        <v>1</v>
      </c>
      <c r="J3020" t="s">
        <v>19</v>
      </c>
      <c r="K3020" t="s">
        <v>20</v>
      </c>
      <c r="L3020" t="s">
        <v>26</v>
      </c>
    </row>
    <row r="3021" spans="2:12" ht="15.75" customHeight="1">
      <c r="D3021" s="34" t="s">
        <v>126</v>
      </c>
      <c r="E3021">
        <v>3710</v>
      </c>
      <c r="F3021">
        <v>2</v>
      </c>
      <c r="H3021">
        <v>2</v>
      </c>
      <c r="J3021" t="s">
        <v>57</v>
      </c>
      <c r="K3021" t="s">
        <v>34</v>
      </c>
      <c r="L3021" t="s">
        <v>28</v>
      </c>
    </row>
    <row r="3022" spans="2:12" ht="15.75" customHeight="1">
      <c r="B3022" t="s">
        <v>99</v>
      </c>
      <c r="C3022" s="3" t="s">
        <v>100</v>
      </c>
      <c r="D3022" s="1" t="s">
        <v>126</v>
      </c>
      <c r="E3022">
        <v>3720</v>
      </c>
      <c r="F3022">
        <v>1</v>
      </c>
      <c r="G3022" s="32">
        <v>3</v>
      </c>
      <c r="H3022">
        <v>0</v>
      </c>
      <c r="J3022" t="s">
        <v>19</v>
      </c>
      <c r="L3022" t="s">
        <v>26</v>
      </c>
    </row>
    <row r="3023" spans="2:12" ht="15.75" customHeight="1">
      <c r="B3023" t="s">
        <v>99</v>
      </c>
      <c r="C3023" s="3" t="s">
        <v>100</v>
      </c>
      <c r="D3023" s="1" t="s">
        <v>126</v>
      </c>
      <c r="E3023">
        <v>3720</v>
      </c>
      <c r="F3023">
        <v>2</v>
      </c>
      <c r="G3023" s="32">
        <v>0</v>
      </c>
      <c r="H3023">
        <v>0</v>
      </c>
      <c r="J3023" t="s">
        <v>42</v>
      </c>
      <c r="L3023" t="s">
        <v>26</v>
      </c>
    </row>
    <row r="3024" spans="2:12" ht="15.75" customHeight="1">
      <c r="B3024" t="s">
        <v>99</v>
      </c>
      <c r="C3024" s="3" t="s">
        <v>100</v>
      </c>
      <c r="D3024" s="1" t="s">
        <v>126</v>
      </c>
      <c r="E3024">
        <v>3720</v>
      </c>
      <c r="F3024">
        <v>3</v>
      </c>
      <c r="G3024" s="32">
        <v>2</v>
      </c>
      <c r="H3024">
        <v>2</v>
      </c>
      <c r="J3024" t="s">
        <v>47</v>
      </c>
      <c r="K3024" t="s">
        <v>33</v>
      </c>
      <c r="L3024" t="s">
        <v>28</v>
      </c>
    </row>
    <row r="3025" spans="2:12" ht="15.75" customHeight="1">
      <c r="D3025" s="34" t="s">
        <v>126</v>
      </c>
      <c r="E3025">
        <v>3730</v>
      </c>
      <c r="F3025">
        <v>1</v>
      </c>
      <c r="H3025">
        <v>1</v>
      </c>
      <c r="J3025" t="s">
        <v>19</v>
      </c>
      <c r="K3025" t="s">
        <v>20</v>
      </c>
      <c r="L3025" t="s">
        <v>26</v>
      </c>
    </row>
    <row r="3026" spans="2:12" ht="15.75" customHeight="1">
      <c r="D3026" s="34" t="s">
        <v>126</v>
      </c>
      <c r="E3026">
        <v>3730</v>
      </c>
      <c r="F3026">
        <v>2</v>
      </c>
      <c r="H3026">
        <v>2</v>
      </c>
      <c r="J3026" t="s">
        <v>57</v>
      </c>
      <c r="K3026" t="s">
        <v>34</v>
      </c>
      <c r="L3026" t="s">
        <v>28</v>
      </c>
    </row>
    <row r="3027" spans="2:12" ht="15.75" customHeight="1">
      <c r="B3027" t="s">
        <v>99</v>
      </c>
      <c r="C3027" s="3" t="s">
        <v>100</v>
      </c>
      <c r="D3027" s="1" t="s">
        <v>126</v>
      </c>
      <c r="E3027">
        <v>3740</v>
      </c>
      <c r="F3027">
        <v>1</v>
      </c>
      <c r="G3027" s="32">
        <v>1</v>
      </c>
      <c r="H3027">
        <v>1</v>
      </c>
      <c r="J3027" t="s">
        <v>19</v>
      </c>
      <c r="K3027" t="s">
        <v>20</v>
      </c>
      <c r="L3027" t="s">
        <v>26</v>
      </c>
    </row>
    <row r="3028" spans="2:12" ht="15.75" customHeight="1">
      <c r="D3028" s="34" t="s">
        <v>126</v>
      </c>
      <c r="E3028">
        <v>3750</v>
      </c>
      <c r="F3028">
        <v>1</v>
      </c>
      <c r="H3028">
        <v>1</v>
      </c>
      <c r="J3028" t="s">
        <v>19</v>
      </c>
      <c r="K3028" t="s">
        <v>20</v>
      </c>
      <c r="L3028" t="s">
        <v>26</v>
      </c>
    </row>
    <row r="3029" spans="2:12" ht="15.75" customHeight="1">
      <c r="D3029" s="34" t="s">
        <v>126</v>
      </c>
      <c r="E3029">
        <v>3750</v>
      </c>
      <c r="F3029">
        <v>2</v>
      </c>
      <c r="H3029">
        <v>0</v>
      </c>
      <c r="J3029" t="s">
        <v>57</v>
      </c>
      <c r="L3029" t="s">
        <v>28</v>
      </c>
    </row>
    <row r="3030" spans="2:12" ht="15.75" customHeight="1">
      <c r="D3030" s="34" t="s">
        <v>126</v>
      </c>
      <c r="E3030">
        <v>3760</v>
      </c>
      <c r="F3030">
        <v>1</v>
      </c>
      <c r="H3030">
        <v>1</v>
      </c>
      <c r="J3030" t="s">
        <v>19</v>
      </c>
      <c r="K3030" t="s">
        <v>20</v>
      </c>
      <c r="L3030" t="s">
        <v>26</v>
      </c>
    </row>
    <row r="3031" spans="2:12" ht="15.75" customHeight="1">
      <c r="D3031" s="34" t="s">
        <v>126</v>
      </c>
      <c r="E3031">
        <v>3760</v>
      </c>
      <c r="F3031">
        <v>2</v>
      </c>
      <c r="H3031">
        <v>0</v>
      </c>
      <c r="J3031" t="s">
        <v>57</v>
      </c>
      <c r="L3031" t="s">
        <v>28</v>
      </c>
    </row>
    <row r="3032" spans="2:12" ht="15.75" customHeight="1">
      <c r="D3032" s="34" t="s">
        <v>126</v>
      </c>
      <c r="E3032">
        <v>3770</v>
      </c>
      <c r="F3032">
        <v>1</v>
      </c>
      <c r="H3032">
        <v>0</v>
      </c>
      <c r="J3032" t="s">
        <v>19</v>
      </c>
      <c r="L3032" t="s">
        <v>28</v>
      </c>
    </row>
    <row r="3033" spans="2:12" ht="15.75" customHeight="1">
      <c r="D3033" s="34" t="s">
        <v>126</v>
      </c>
      <c r="E3033">
        <v>3780</v>
      </c>
      <c r="F3033">
        <v>1</v>
      </c>
      <c r="H3033">
        <v>1</v>
      </c>
      <c r="J3033" t="s">
        <v>19</v>
      </c>
      <c r="K3033" t="s">
        <v>20</v>
      </c>
      <c r="L3033" t="s">
        <v>26</v>
      </c>
    </row>
    <row r="3034" spans="2:12" ht="15.75" customHeight="1">
      <c r="D3034" s="34" t="s">
        <v>126</v>
      </c>
      <c r="E3034">
        <v>3780</v>
      </c>
      <c r="F3034">
        <v>2</v>
      </c>
      <c r="H3034">
        <v>1</v>
      </c>
      <c r="J3034" t="s">
        <v>57</v>
      </c>
      <c r="K3034" t="s">
        <v>34</v>
      </c>
      <c r="L3034" t="s">
        <v>28</v>
      </c>
    </row>
    <row r="3035" spans="2:12" ht="15.75" customHeight="1">
      <c r="B3035" t="s">
        <v>99</v>
      </c>
      <c r="C3035" s="3" t="s">
        <v>100</v>
      </c>
      <c r="D3035" s="1" t="s">
        <v>126</v>
      </c>
      <c r="E3035">
        <v>3790</v>
      </c>
      <c r="F3035">
        <v>1</v>
      </c>
      <c r="G3035" s="32">
        <v>1</v>
      </c>
      <c r="H3035">
        <v>1</v>
      </c>
      <c r="J3035" t="s">
        <v>19</v>
      </c>
      <c r="K3035" t="s">
        <v>20</v>
      </c>
      <c r="L3035" t="s">
        <v>26</v>
      </c>
    </row>
    <row r="3036" spans="2:12" ht="15.75" customHeight="1">
      <c r="B3036" t="s">
        <v>99</v>
      </c>
      <c r="C3036" s="3" t="s">
        <v>100</v>
      </c>
      <c r="D3036" s="1" t="s">
        <v>126</v>
      </c>
      <c r="E3036">
        <v>3790</v>
      </c>
      <c r="F3036">
        <v>2</v>
      </c>
      <c r="G3036" s="32">
        <v>0</v>
      </c>
      <c r="H3036">
        <v>0</v>
      </c>
      <c r="J3036" t="s">
        <v>47</v>
      </c>
      <c r="L3036" t="s">
        <v>28</v>
      </c>
    </row>
    <row r="3037" spans="2:12" ht="15.75" customHeight="1">
      <c r="D3037" s="34" t="s">
        <v>126</v>
      </c>
      <c r="E3037">
        <v>3800</v>
      </c>
      <c r="F3037">
        <v>1</v>
      </c>
      <c r="H3037">
        <v>1</v>
      </c>
      <c r="J3037" t="s">
        <v>19</v>
      </c>
      <c r="K3037" t="s">
        <v>20</v>
      </c>
      <c r="L3037" t="s">
        <v>26</v>
      </c>
    </row>
    <row r="3038" spans="2:12" ht="15.75" customHeight="1">
      <c r="D3038" s="34" t="s">
        <v>126</v>
      </c>
      <c r="E3038">
        <v>3800</v>
      </c>
      <c r="F3038">
        <v>2</v>
      </c>
      <c r="H3038">
        <v>2</v>
      </c>
      <c r="J3038" t="s">
        <v>57</v>
      </c>
      <c r="K3038" t="s">
        <v>34</v>
      </c>
      <c r="L3038" t="s">
        <v>28</v>
      </c>
    </row>
    <row r="3039" spans="2:12" ht="15.75" customHeight="1">
      <c r="D3039" s="34" t="s">
        <v>126</v>
      </c>
      <c r="E3039">
        <v>3810</v>
      </c>
      <c r="F3039">
        <v>1</v>
      </c>
      <c r="H3039">
        <v>2</v>
      </c>
      <c r="J3039" t="s">
        <v>19</v>
      </c>
      <c r="K3039" t="s">
        <v>34</v>
      </c>
      <c r="L3039" t="s">
        <v>26</v>
      </c>
    </row>
    <row r="3040" spans="2:12" ht="15.75" customHeight="1">
      <c r="D3040" s="34" t="s">
        <v>126</v>
      </c>
      <c r="E3040">
        <v>3810</v>
      </c>
      <c r="F3040">
        <v>2</v>
      </c>
      <c r="H3040">
        <v>2</v>
      </c>
      <c r="J3040" t="s">
        <v>57</v>
      </c>
      <c r="K3040" t="s">
        <v>34</v>
      </c>
      <c r="L3040" t="s">
        <v>28</v>
      </c>
    </row>
    <row r="3041" spans="2:12" ht="15.75" customHeight="1">
      <c r="D3041" s="34" t="s">
        <v>126</v>
      </c>
      <c r="E3041">
        <v>3820</v>
      </c>
      <c r="F3041">
        <v>1</v>
      </c>
      <c r="H3041">
        <v>0</v>
      </c>
      <c r="J3041" t="s">
        <v>19</v>
      </c>
      <c r="L3041" t="s">
        <v>26</v>
      </c>
    </row>
    <row r="3042" spans="2:12" ht="15.75" customHeight="1">
      <c r="D3042" s="34" t="s">
        <v>126</v>
      </c>
      <c r="E3042">
        <v>3820</v>
      </c>
      <c r="F3042">
        <v>2</v>
      </c>
      <c r="H3042">
        <v>2</v>
      </c>
      <c r="J3042" t="s">
        <v>57</v>
      </c>
      <c r="K3042" t="s">
        <v>34</v>
      </c>
      <c r="L3042" t="s">
        <v>28</v>
      </c>
    </row>
    <row r="3043" spans="2:12" ht="15.75" customHeight="1">
      <c r="D3043" s="34" t="s">
        <v>126</v>
      </c>
      <c r="E3043">
        <v>3830</v>
      </c>
      <c r="F3043">
        <v>1</v>
      </c>
      <c r="H3043">
        <v>0</v>
      </c>
      <c r="J3043" t="s">
        <v>19</v>
      </c>
      <c r="L3043" t="s">
        <v>26</v>
      </c>
    </row>
    <row r="3044" spans="2:12" ht="15.75" customHeight="1">
      <c r="D3044" s="34" t="s">
        <v>126</v>
      </c>
      <c r="E3044">
        <v>3840</v>
      </c>
      <c r="F3044">
        <v>1</v>
      </c>
      <c r="H3044">
        <v>0</v>
      </c>
      <c r="J3044" t="s">
        <v>19</v>
      </c>
      <c r="L3044" t="s">
        <v>26</v>
      </c>
    </row>
    <row r="3045" spans="2:12" ht="15.75" customHeight="1">
      <c r="D3045" s="34" t="s">
        <v>126</v>
      </c>
      <c r="E3045">
        <v>3840</v>
      </c>
      <c r="F3045">
        <v>2</v>
      </c>
      <c r="H3045">
        <v>2</v>
      </c>
      <c r="J3045" t="s">
        <v>38</v>
      </c>
      <c r="K3045" t="s">
        <v>27</v>
      </c>
      <c r="L3045" t="s">
        <v>28</v>
      </c>
    </row>
    <row r="3046" spans="2:12" ht="15.75" customHeight="1">
      <c r="B3046" t="s">
        <v>99</v>
      </c>
      <c r="C3046" s="3" t="s">
        <v>100</v>
      </c>
      <c r="D3046" s="1" t="s">
        <v>126</v>
      </c>
      <c r="E3046">
        <v>3850</v>
      </c>
      <c r="F3046">
        <v>1</v>
      </c>
      <c r="G3046" s="32">
        <v>1</v>
      </c>
      <c r="H3046">
        <v>1</v>
      </c>
      <c r="J3046" t="s">
        <v>19</v>
      </c>
      <c r="K3046" t="s">
        <v>20</v>
      </c>
      <c r="L3046" t="s">
        <v>26</v>
      </c>
    </row>
    <row r="3047" spans="2:12" ht="15.75" customHeight="1">
      <c r="D3047" s="34" t="s">
        <v>126</v>
      </c>
      <c r="E3047">
        <v>3860</v>
      </c>
      <c r="F3047">
        <v>1</v>
      </c>
      <c r="H3047">
        <v>1</v>
      </c>
      <c r="J3047" t="s">
        <v>30</v>
      </c>
      <c r="K3047" t="s">
        <v>34</v>
      </c>
      <c r="L3047" t="s">
        <v>28</v>
      </c>
    </row>
    <row r="3048" spans="2:12" ht="15.75" customHeight="1">
      <c r="D3048" s="34" t="s">
        <v>126</v>
      </c>
      <c r="E3048">
        <v>3870</v>
      </c>
      <c r="F3048">
        <v>1</v>
      </c>
      <c r="H3048">
        <v>1</v>
      </c>
      <c r="J3048" t="s">
        <v>19</v>
      </c>
      <c r="K3048" t="s">
        <v>20</v>
      </c>
      <c r="L3048" t="s">
        <v>26</v>
      </c>
    </row>
    <row r="3049" spans="2:12" ht="15.75" customHeight="1">
      <c r="D3049" s="34" t="s">
        <v>126</v>
      </c>
      <c r="E3049">
        <v>3870</v>
      </c>
      <c r="F3049">
        <v>2</v>
      </c>
      <c r="H3049">
        <v>2</v>
      </c>
      <c r="J3049" t="s">
        <v>42</v>
      </c>
      <c r="K3049" t="s">
        <v>34</v>
      </c>
      <c r="L3049" t="s">
        <v>28</v>
      </c>
    </row>
    <row r="3050" spans="2:12" ht="15.75" customHeight="1">
      <c r="D3050" s="34" t="s">
        <v>126</v>
      </c>
      <c r="E3050">
        <v>3880</v>
      </c>
      <c r="F3050">
        <v>1</v>
      </c>
      <c r="H3050">
        <v>1</v>
      </c>
      <c r="J3050" t="s">
        <v>19</v>
      </c>
      <c r="K3050" t="s">
        <v>20</v>
      </c>
      <c r="L3050" t="s">
        <v>26</v>
      </c>
    </row>
    <row r="3051" spans="2:12" ht="15.75" customHeight="1">
      <c r="D3051" s="34" t="s">
        <v>126</v>
      </c>
      <c r="E3051">
        <v>3880</v>
      </c>
      <c r="F3051">
        <v>2</v>
      </c>
      <c r="H3051">
        <v>2</v>
      </c>
      <c r="J3051" t="s">
        <v>30</v>
      </c>
      <c r="K3051" t="s">
        <v>34</v>
      </c>
      <c r="L3051" t="s">
        <v>28</v>
      </c>
    </row>
    <row r="3052" spans="2:12" ht="15.75" customHeight="1">
      <c r="B3052" t="s">
        <v>99</v>
      </c>
      <c r="C3052" s="3" t="s">
        <v>100</v>
      </c>
      <c r="D3052" s="1" t="s">
        <v>126</v>
      </c>
      <c r="E3052">
        <v>3890</v>
      </c>
      <c r="F3052">
        <v>1</v>
      </c>
      <c r="G3052" s="32">
        <v>1</v>
      </c>
      <c r="H3052">
        <v>1</v>
      </c>
      <c r="J3052" t="s">
        <v>19</v>
      </c>
      <c r="K3052" t="s">
        <v>20</v>
      </c>
      <c r="L3052" t="s">
        <v>26</v>
      </c>
    </row>
    <row r="3053" spans="2:12" ht="15.75" customHeight="1">
      <c r="B3053" t="s">
        <v>99</v>
      </c>
      <c r="C3053" s="3" t="s">
        <v>100</v>
      </c>
      <c r="D3053" s="1" t="s">
        <v>126</v>
      </c>
      <c r="E3053">
        <v>3890</v>
      </c>
      <c r="F3053">
        <v>2</v>
      </c>
      <c r="G3053" s="32">
        <v>2</v>
      </c>
      <c r="H3053">
        <v>2</v>
      </c>
      <c r="J3053" t="s">
        <v>47</v>
      </c>
      <c r="K3053" t="s">
        <v>33</v>
      </c>
      <c r="L3053" t="s">
        <v>28</v>
      </c>
    </row>
    <row r="3054" spans="2:12" ht="15.75" customHeight="1">
      <c r="D3054" s="34" t="s">
        <v>126</v>
      </c>
      <c r="E3054">
        <v>3900</v>
      </c>
      <c r="F3054">
        <v>1</v>
      </c>
      <c r="H3054">
        <v>0</v>
      </c>
      <c r="J3054" t="s">
        <v>19</v>
      </c>
      <c r="L3054" t="s">
        <v>26</v>
      </c>
    </row>
    <row r="3055" spans="2:12" ht="15.75" customHeight="1">
      <c r="D3055" s="34" t="s">
        <v>126</v>
      </c>
      <c r="E3055">
        <v>3900</v>
      </c>
      <c r="F3055">
        <v>2</v>
      </c>
      <c r="H3055">
        <v>1</v>
      </c>
      <c r="J3055" t="s">
        <v>42</v>
      </c>
      <c r="K3055" t="s">
        <v>20</v>
      </c>
      <c r="L3055" t="s">
        <v>26</v>
      </c>
    </row>
    <row r="3056" spans="2:12" ht="15.75" customHeight="1">
      <c r="D3056" s="34" t="s">
        <v>126</v>
      </c>
      <c r="E3056">
        <v>3900</v>
      </c>
      <c r="F3056">
        <v>3</v>
      </c>
      <c r="H3056">
        <v>0</v>
      </c>
      <c r="J3056" t="s">
        <v>57</v>
      </c>
      <c r="L3056" t="s">
        <v>28</v>
      </c>
    </row>
    <row r="3057" spans="2:12" ht="15.75" customHeight="1">
      <c r="D3057" s="34" t="s">
        <v>126</v>
      </c>
      <c r="E3057">
        <v>3910</v>
      </c>
      <c r="F3057">
        <v>1</v>
      </c>
      <c r="H3057">
        <v>0</v>
      </c>
      <c r="J3057" t="s">
        <v>19</v>
      </c>
      <c r="L3057" t="s">
        <v>26</v>
      </c>
    </row>
    <row r="3058" spans="2:12" ht="15.75" customHeight="1">
      <c r="D3058" s="34" t="s">
        <v>126</v>
      </c>
      <c r="E3058">
        <v>3910</v>
      </c>
      <c r="F3058">
        <v>2</v>
      </c>
      <c r="H3058">
        <v>1</v>
      </c>
      <c r="J3058" t="s">
        <v>19</v>
      </c>
      <c r="K3058" t="s">
        <v>20</v>
      </c>
      <c r="L3058" t="s">
        <v>26</v>
      </c>
    </row>
    <row r="3059" spans="2:12" ht="15.75" customHeight="1">
      <c r="D3059" s="34" t="s">
        <v>126</v>
      </c>
      <c r="E3059">
        <v>3910</v>
      </c>
      <c r="F3059">
        <v>3</v>
      </c>
      <c r="H3059">
        <v>2</v>
      </c>
      <c r="J3059" t="s">
        <v>57</v>
      </c>
      <c r="K3059" t="s">
        <v>34</v>
      </c>
      <c r="L3059" t="s">
        <v>28</v>
      </c>
    </row>
    <row r="3060" spans="2:12" ht="15.75" customHeight="1">
      <c r="D3060" s="34" t="s">
        <v>126</v>
      </c>
      <c r="E3060">
        <v>3920</v>
      </c>
      <c r="F3060">
        <v>1</v>
      </c>
      <c r="H3060">
        <v>1</v>
      </c>
      <c r="J3060" t="s">
        <v>19</v>
      </c>
      <c r="K3060" t="s">
        <v>20</v>
      </c>
      <c r="L3060" t="s">
        <v>26</v>
      </c>
    </row>
    <row r="3061" spans="2:12" ht="15.75" customHeight="1">
      <c r="D3061" s="34" t="s">
        <v>126</v>
      </c>
      <c r="E3061">
        <v>3920</v>
      </c>
      <c r="F3061">
        <v>2</v>
      </c>
      <c r="H3061">
        <v>0</v>
      </c>
      <c r="J3061" t="s">
        <v>42</v>
      </c>
      <c r="L3061" t="s">
        <v>26</v>
      </c>
    </row>
    <row r="3062" spans="2:12" ht="15.75" customHeight="1">
      <c r="B3062" t="s">
        <v>99</v>
      </c>
      <c r="C3062" s="3" t="s">
        <v>100</v>
      </c>
      <c r="D3062" s="1" t="s">
        <v>126</v>
      </c>
      <c r="E3062">
        <v>3930</v>
      </c>
      <c r="F3062">
        <v>1</v>
      </c>
      <c r="G3062" s="32">
        <v>1</v>
      </c>
      <c r="H3062">
        <v>1</v>
      </c>
      <c r="J3062" t="s">
        <v>19</v>
      </c>
      <c r="K3062" t="s">
        <v>20</v>
      </c>
      <c r="L3062" t="s">
        <v>26</v>
      </c>
    </row>
    <row r="3063" spans="2:12" ht="15.75" customHeight="1">
      <c r="B3063" t="s">
        <v>99</v>
      </c>
      <c r="C3063" s="3" t="s">
        <v>100</v>
      </c>
      <c r="D3063" s="1" t="s">
        <v>126</v>
      </c>
      <c r="E3063">
        <v>3930</v>
      </c>
      <c r="F3063">
        <v>2</v>
      </c>
      <c r="G3063" s="32">
        <v>2</v>
      </c>
      <c r="H3063">
        <v>1</v>
      </c>
      <c r="J3063" t="s">
        <v>42</v>
      </c>
      <c r="K3063" t="s">
        <v>20</v>
      </c>
      <c r="L3063" t="s">
        <v>26</v>
      </c>
    </row>
    <row r="3064" spans="2:12" ht="15.75" customHeight="1">
      <c r="D3064" s="34" t="s">
        <v>126</v>
      </c>
      <c r="E3064">
        <v>3940</v>
      </c>
      <c r="F3064">
        <v>2</v>
      </c>
      <c r="H3064">
        <v>1</v>
      </c>
    </row>
    <row r="3065" spans="2:12" ht="15.75" customHeight="1">
      <c r="B3065" t="s">
        <v>99</v>
      </c>
      <c r="C3065" s="3" t="s">
        <v>100</v>
      </c>
      <c r="D3065" s="1" t="s">
        <v>126</v>
      </c>
      <c r="E3065">
        <v>3950</v>
      </c>
      <c r="F3065">
        <v>1</v>
      </c>
      <c r="G3065" s="32">
        <v>1</v>
      </c>
      <c r="H3065">
        <v>1</v>
      </c>
      <c r="J3065" t="s">
        <v>19</v>
      </c>
      <c r="K3065" t="s">
        <v>20</v>
      </c>
      <c r="L3065" t="s">
        <v>26</v>
      </c>
    </row>
    <row r="3066" spans="2:12" ht="15.75" customHeight="1">
      <c r="B3066" t="s">
        <v>99</v>
      </c>
      <c r="C3066" s="3" t="s">
        <v>100</v>
      </c>
      <c r="D3066" s="1" t="s">
        <v>126</v>
      </c>
      <c r="E3066">
        <v>3950</v>
      </c>
      <c r="F3066">
        <v>2</v>
      </c>
      <c r="G3066" s="32">
        <v>0</v>
      </c>
      <c r="H3066">
        <v>0</v>
      </c>
      <c r="J3066" t="s">
        <v>42</v>
      </c>
      <c r="L3066" t="s">
        <v>26</v>
      </c>
    </row>
    <row r="3067" spans="2:12" ht="15.75" customHeight="1">
      <c r="D3067" s="34" t="s">
        <v>126</v>
      </c>
      <c r="E3067">
        <v>3960</v>
      </c>
      <c r="F3067">
        <v>2</v>
      </c>
      <c r="H3067">
        <v>1</v>
      </c>
    </row>
    <row r="3068" spans="2:12" ht="15.75" customHeight="1">
      <c r="B3068" t="s">
        <v>99</v>
      </c>
      <c r="C3068" s="3" t="s">
        <v>100</v>
      </c>
      <c r="D3068" s="1" t="s">
        <v>126</v>
      </c>
      <c r="E3068">
        <v>3970</v>
      </c>
      <c r="F3068">
        <v>1</v>
      </c>
      <c r="G3068" s="32">
        <v>1</v>
      </c>
      <c r="H3068">
        <v>1</v>
      </c>
      <c r="J3068" t="s">
        <v>19</v>
      </c>
      <c r="K3068" t="s">
        <v>20</v>
      </c>
      <c r="L3068" t="s">
        <v>26</v>
      </c>
    </row>
    <row r="3069" spans="2:12" ht="15.75" customHeight="1">
      <c r="B3069" t="s">
        <v>99</v>
      </c>
      <c r="C3069" s="3" t="s">
        <v>100</v>
      </c>
      <c r="D3069" s="1" t="s">
        <v>126</v>
      </c>
      <c r="E3069">
        <v>3970</v>
      </c>
      <c r="F3069">
        <v>2</v>
      </c>
      <c r="G3069" s="32">
        <v>0</v>
      </c>
      <c r="H3069">
        <v>0</v>
      </c>
      <c r="J3069" s="12" t="s">
        <v>132</v>
      </c>
      <c r="L3069" t="s">
        <v>28</v>
      </c>
    </row>
    <row r="3070" spans="2:12" ht="15.75" customHeight="1">
      <c r="B3070" t="s">
        <v>99</v>
      </c>
      <c r="C3070" s="3" t="s">
        <v>100</v>
      </c>
      <c r="D3070" s="1" t="s">
        <v>126</v>
      </c>
      <c r="E3070">
        <v>3980</v>
      </c>
      <c r="F3070">
        <v>1</v>
      </c>
      <c r="G3070" s="32">
        <v>1</v>
      </c>
      <c r="H3070">
        <v>1</v>
      </c>
      <c r="J3070" t="s">
        <v>19</v>
      </c>
      <c r="K3070" t="s">
        <v>20</v>
      </c>
      <c r="L3070" t="s">
        <v>26</v>
      </c>
    </row>
    <row r="3071" spans="2:12" ht="15.75" customHeight="1">
      <c r="B3071" t="s">
        <v>99</v>
      </c>
      <c r="C3071" s="3" t="s">
        <v>100</v>
      </c>
      <c r="D3071" s="1" t="s">
        <v>126</v>
      </c>
      <c r="E3071">
        <v>3980</v>
      </c>
      <c r="F3071">
        <v>2</v>
      </c>
      <c r="G3071" s="32">
        <v>2</v>
      </c>
      <c r="H3071">
        <v>1</v>
      </c>
      <c r="J3071" s="12" t="s">
        <v>132</v>
      </c>
      <c r="K3071" t="s">
        <v>33</v>
      </c>
      <c r="L3071" t="s">
        <v>28</v>
      </c>
    </row>
  </sheetData>
  <autoFilter ref="A1:L1556" xr:uid="{3ED5090D-F05B-4C17-B654-02BD8A21C542}">
    <sortState xmlns:xlrd2="http://schemas.microsoft.com/office/spreadsheetml/2017/richdata2" ref="A2:L3071">
      <sortCondition ref="D1:D1556"/>
    </sortState>
  </autoFilter>
  <sortState xmlns:xlrd2="http://schemas.microsoft.com/office/spreadsheetml/2017/richdata2" ref="A2:L3071">
    <sortCondition ref="D2:D3071"/>
    <sortCondition ref="E2:E3071"/>
  </sortState>
  <phoneticPr fontId="8" type="noConversion"/>
  <dataValidations count="2">
    <dataValidation type="list" allowBlank="1" showInputMessage="1" showErrorMessage="1" sqref="J1557:J3071" xr:uid="{2AAFEAEA-34C7-4481-8EE1-1C5AEED36474}">
      <formula1>"Bipolar, Cautery, Clip, Dissector, G, G2, Harmonic, Ligasure , Peanut, Suction, Scissor"</formula1>
    </dataValidation>
    <dataValidation type="list" allowBlank="1" showInputMessage="1" showErrorMessage="1" sqref="K1557:K3071" xr:uid="{F460DBB3-3335-4D5F-88DF-802428459923}">
      <formula1>"Blunt dissection, Clip, Cut-sharp dissection, Energy-sharp dissection, Other, RG, Suction"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C905-E322-4639-967F-DB87F6FEAAF1}">
  <dimension ref="A1:L177"/>
  <sheetViews>
    <sheetView topLeftCell="A101" workbookViewId="0">
      <selection activeCell="F151" sqref="F151"/>
    </sheetView>
  </sheetViews>
  <sheetFormatPr defaultRowHeight="15.75"/>
  <cols>
    <col min="1" max="1" width="34.75" bestFit="1" customWidth="1"/>
    <col min="3" max="3" width="36" bestFit="1" customWidth="1"/>
    <col min="4" max="4" width="14.125" customWidth="1"/>
    <col min="5" max="5" width="12.375" bestFit="1" customWidth="1"/>
  </cols>
  <sheetData>
    <row r="1" spans="1:4" ht="32.25">
      <c r="A1" s="14" t="s">
        <v>135</v>
      </c>
      <c r="B1" s="14"/>
      <c r="C1" s="13" t="s">
        <v>136</v>
      </c>
    </row>
    <row r="2" spans="1:4" ht="48.75">
      <c r="A2" s="14" t="s">
        <v>137</v>
      </c>
      <c r="B2" s="14">
        <v>760</v>
      </c>
      <c r="C2" s="13" t="s">
        <v>138</v>
      </c>
      <c r="D2" t="s">
        <v>139</v>
      </c>
    </row>
    <row r="3" spans="1:4" ht="32.25">
      <c r="A3" s="14" t="s">
        <v>140</v>
      </c>
      <c r="B3" s="14">
        <v>939</v>
      </c>
      <c r="C3" s="13" t="s">
        <v>141</v>
      </c>
    </row>
    <row r="4" spans="1:4">
      <c r="A4" s="14" t="s">
        <v>142</v>
      </c>
      <c r="B4" s="14">
        <v>233</v>
      </c>
    </row>
    <row r="5" spans="1:4">
      <c r="A5" t="s">
        <v>143</v>
      </c>
      <c r="B5">
        <v>243</v>
      </c>
    </row>
    <row r="6" spans="1:4">
      <c r="A6" t="s">
        <v>50</v>
      </c>
      <c r="B6">
        <v>29</v>
      </c>
    </row>
    <row r="9" spans="1:4">
      <c r="A9" t="s">
        <v>144</v>
      </c>
    </row>
    <row r="10" spans="1:4">
      <c r="A10" s="14" t="s">
        <v>145</v>
      </c>
      <c r="B10" s="14" t="s">
        <v>146</v>
      </c>
      <c r="C10" t="s">
        <v>147</v>
      </c>
    </row>
    <row r="11" spans="1:4">
      <c r="A11" s="14" t="s">
        <v>148</v>
      </c>
      <c r="B11" s="14" t="s">
        <v>149</v>
      </c>
      <c r="C11" t="s">
        <v>150</v>
      </c>
    </row>
    <row r="13" spans="1:4">
      <c r="A13" t="s">
        <v>151</v>
      </c>
    </row>
    <row r="14" spans="1:4">
      <c r="A14" t="s">
        <v>152</v>
      </c>
    </row>
    <row r="16" spans="1:4">
      <c r="A16" t="s">
        <v>153</v>
      </c>
    </row>
    <row r="17" spans="1:7">
      <c r="A17" t="s">
        <v>154</v>
      </c>
      <c r="F17" t="s">
        <v>155</v>
      </c>
      <c r="G17" t="s">
        <v>156</v>
      </c>
    </row>
    <row r="18" spans="1:7">
      <c r="A18" t="s">
        <v>157</v>
      </c>
      <c r="F18" t="s">
        <v>158</v>
      </c>
      <c r="G18" t="s">
        <v>159</v>
      </c>
    </row>
    <row r="19" spans="1:7">
      <c r="A19" t="s">
        <v>160</v>
      </c>
    </row>
    <row r="23" spans="1:7">
      <c r="A23" t="s">
        <v>161</v>
      </c>
    </row>
    <row r="24" spans="1:7">
      <c r="A24" t="s">
        <v>149</v>
      </c>
      <c r="B24">
        <v>143</v>
      </c>
    </row>
    <row r="25" spans="1:7">
      <c r="A25" t="s">
        <v>145</v>
      </c>
      <c r="B25">
        <v>792</v>
      </c>
      <c r="C25" t="s">
        <v>162</v>
      </c>
      <c r="D25" s="12">
        <f>ROUND((792/1173*100),1)</f>
        <v>67.5</v>
      </c>
    </row>
    <row r="26" spans="1:7">
      <c r="A26" t="s">
        <v>148</v>
      </c>
      <c r="B26">
        <v>381</v>
      </c>
      <c r="C26" t="s">
        <v>163</v>
      </c>
    </row>
    <row r="27" spans="1:7">
      <c r="A27" t="s">
        <v>146</v>
      </c>
      <c r="B27">
        <v>101</v>
      </c>
    </row>
    <row r="29" spans="1:7">
      <c r="A29" t="s">
        <v>164</v>
      </c>
      <c r="C29" t="s">
        <v>165</v>
      </c>
    </row>
    <row r="30" spans="1:7">
      <c r="A30" t="s">
        <v>145</v>
      </c>
      <c r="B30">
        <v>681</v>
      </c>
      <c r="C30">
        <f>ROUND((B30/$B$32)*100,1)</f>
        <v>72.599999999999994</v>
      </c>
      <c r="D30" t="s">
        <v>166</v>
      </c>
    </row>
    <row r="31" spans="1:7">
      <c r="A31" t="s">
        <v>148</v>
      </c>
      <c r="B31">
        <v>257</v>
      </c>
      <c r="C31">
        <f>ROUND((B31/$B$32)*100,1)</f>
        <v>27.4</v>
      </c>
    </row>
    <row r="32" spans="1:7">
      <c r="A32" t="s">
        <v>167</v>
      </c>
      <c r="B32">
        <f>SUM(B30:B31)</f>
        <v>938</v>
      </c>
    </row>
    <row r="34" spans="1:12">
      <c r="A34" t="s">
        <v>154</v>
      </c>
      <c r="C34" t="s">
        <v>165</v>
      </c>
    </row>
    <row r="35" spans="1:12">
      <c r="A35" t="s">
        <v>145</v>
      </c>
      <c r="B35">
        <v>109</v>
      </c>
      <c r="C35">
        <f>ROUND((B35/$B$37)*100,1)</f>
        <v>46.8</v>
      </c>
      <c r="D35" t="s">
        <v>166</v>
      </c>
    </row>
    <row r="36" spans="1:12">
      <c r="A36" t="s">
        <v>148</v>
      </c>
      <c r="B36">
        <v>124</v>
      </c>
      <c r="C36">
        <f>ROUND((B36/$B$37)*100,1)</f>
        <v>53.2</v>
      </c>
    </row>
    <row r="37" spans="1:12">
      <c r="A37" t="s">
        <v>167</v>
      </c>
      <c r="B37">
        <f>SUM(B35:B36)</f>
        <v>233</v>
      </c>
    </row>
    <row r="39" spans="1:12">
      <c r="F39" s="18" t="s">
        <v>168</v>
      </c>
      <c r="G39" s="18"/>
      <c r="H39" s="18"/>
      <c r="I39" s="18"/>
      <c r="J39" s="18" t="s">
        <v>169</v>
      </c>
      <c r="K39" s="18"/>
      <c r="L39" s="18"/>
    </row>
    <row r="40" spans="1:12">
      <c r="A40" t="s">
        <v>170</v>
      </c>
      <c r="F40" s="18" t="s">
        <v>99</v>
      </c>
      <c r="G40" s="18"/>
      <c r="H40" s="18"/>
      <c r="I40" s="18"/>
      <c r="J40" s="18" t="s">
        <v>99</v>
      </c>
      <c r="K40" s="18"/>
      <c r="L40" s="18"/>
    </row>
    <row r="41" spans="1:12">
      <c r="A41" s="12" t="s">
        <v>164</v>
      </c>
      <c r="B41" s="12"/>
      <c r="C41" s="12" t="s">
        <v>165</v>
      </c>
      <c r="D41" s="12"/>
      <c r="F41" s="18" t="s">
        <v>171</v>
      </c>
      <c r="G41" s="18">
        <v>312</v>
      </c>
      <c r="H41" s="18">
        <f>ROUND(G41/G43*100,1)</f>
        <v>57.6</v>
      </c>
      <c r="I41" s="18"/>
      <c r="J41" s="18" t="s">
        <v>171</v>
      </c>
      <c r="K41" s="18">
        <v>225</v>
      </c>
      <c r="L41" s="18">
        <f>ROUND(K41/K43*100,1)</f>
        <v>67.599999999999994</v>
      </c>
    </row>
    <row r="42" spans="1:12">
      <c r="A42" s="12" t="s">
        <v>145</v>
      </c>
      <c r="B42" s="12">
        <v>225</v>
      </c>
      <c r="C42" s="12">
        <f>ROUND((B42/$B$44)*100,1)</f>
        <v>72.099999999999994</v>
      </c>
      <c r="D42" s="12" t="s">
        <v>166</v>
      </c>
      <c r="F42" s="18" t="s">
        <v>172</v>
      </c>
      <c r="G42" s="18">
        <v>230</v>
      </c>
      <c r="H42" s="18">
        <f>ROUND(G42/G43*100,1)</f>
        <v>42.4</v>
      </c>
      <c r="I42" s="18"/>
      <c r="J42" s="18" t="s">
        <v>172</v>
      </c>
      <c r="K42" s="18">
        <v>108</v>
      </c>
      <c r="L42" s="18">
        <f>ROUND(K42/K43*100,1)</f>
        <v>32.4</v>
      </c>
    </row>
    <row r="43" spans="1:12">
      <c r="A43" s="12" t="s">
        <v>148</v>
      </c>
      <c r="B43" s="12">
        <v>87</v>
      </c>
      <c r="C43" s="12">
        <f>ROUND((B43/$B$44)*100,1)</f>
        <v>27.9</v>
      </c>
      <c r="D43" s="12"/>
      <c r="F43" s="18" t="s">
        <v>173</v>
      </c>
      <c r="G43" s="18">
        <f>SUM(G41:G42)</f>
        <v>542</v>
      </c>
      <c r="H43" s="18"/>
      <c r="I43" s="18"/>
      <c r="J43" s="18" t="s">
        <v>173</v>
      </c>
      <c r="K43" s="18">
        <f>SUM(K41:K42)</f>
        <v>333</v>
      </c>
      <c r="L43" s="18"/>
    </row>
    <row r="44" spans="1:12">
      <c r="A44" s="12" t="s">
        <v>167</v>
      </c>
      <c r="B44" s="12">
        <f>SUM(B42:B43)</f>
        <v>312</v>
      </c>
      <c r="C44" s="12"/>
      <c r="D44" s="12"/>
      <c r="F44" s="18"/>
      <c r="G44" s="18"/>
      <c r="H44" s="18"/>
      <c r="I44" s="18"/>
      <c r="J44" s="18"/>
      <c r="K44" s="18"/>
      <c r="L44" s="18"/>
    </row>
    <row r="45" spans="1:12">
      <c r="A45" s="12"/>
      <c r="B45" s="12"/>
      <c r="C45" s="12"/>
      <c r="D45" s="12"/>
      <c r="F45" s="18" t="s">
        <v>1</v>
      </c>
      <c r="G45" s="18"/>
      <c r="H45" s="18"/>
      <c r="I45" s="18"/>
      <c r="J45" s="18" t="s">
        <v>1</v>
      </c>
      <c r="K45" s="18"/>
      <c r="L45" s="18"/>
    </row>
    <row r="46" spans="1:12">
      <c r="A46" s="12" t="s">
        <v>154</v>
      </c>
      <c r="B46" s="12"/>
      <c r="C46" s="12" t="s">
        <v>165</v>
      </c>
      <c r="D46" s="12"/>
      <c r="F46" s="18" t="s">
        <v>171</v>
      </c>
      <c r="G46" s="18">
        <v>626</v>
      </c>
      <c r="H46" s="18">
        <f>ROUND(G46/G48*100,1)</f>
        <v>99.5</v>
      </c>
      <c r="I46" s="18"/>
      <c r="J46" s="18" t="s">
        <v>171</v>
      </c>
      <c r="K46" s="18">
        <v>456</v>
      </c>
      <c r="L46" s="18">
        <f>ROUND(K46/K48*100,1)</f>
        <v>99.8</v>
      </c>
    </row>
    <row r="47" spans="1:12">
      <c r="A47" s="12" t="s">
        <v>145</v>
      </c>
      <c r="B47" s="12">
        <v>108</v>
      </c>
      <c r="C47" s="12">
        <f>ROUND((B47/$B$49)*100,1)</f>
        <v>47</v>
      </c>
      <c r="D47" s="12" t="s">
        <v>166</v>
      </c>
      <c r="F47" s="18" t="s">
        <v>172</v>
      </c>
      <c r="G47" s="18">
        <v>3</v>
      </c>
      <c r="H47" s="18">
        <f>ROUND(G47/G48*100,1)</f>
        <v>0.5</v>
      </c>
      <c r="I47" s="18"/>
      <c r="J47" s="18" t="s">
        <v>172</v>
      </c>
      <c r="K47" s="18">
        <v>1</v>
      </c>
      <c r="L47" s="18">
        <f>ROUND(K47/K48*100,1)</f>
        <v>0.2</v>
      </c>
    </row>
    <row r="48" spans="1:12">
      <c r="A48" s="12" t="s">
        <v>148</v>
      </c>
      <c r="B48" s="12">
        <v>122</v>
      </c>
      <c r="C48" s="12">
        <f>ROUND((B48/$B$49)*100,1)</f>
        <v>53</v>
      </c>
      <c r="D48" s="12"/>
      <c r="F48" s="18" t="s">
        <v>173</v>
      </c>
      <c r="G48" s="18">
        <f>SUM(G46:G47)</f>
        <v>629</v>
      </c>
      <c r="H48" s="18"/>
      <c r="I48" s="18"/>
      <c r="J48" s="18" t="s">
        <v>173</v>
      </c>
      <c r="K48" s="18">
        <f>SUM(K46:K47)</f>
        <v>457</v>
      </c>
      <c r="L48" s="18"/>
    </row>
    <row r="49" spans="1:4">
      <c r="A49" s="12" t="s">
        <v>167</v>
      </c>
      <c r="B49" s="12">
        <f>SUM(B47:B48)</f>
        <v>230</v>
      </c>
      <c r="C49" s="12"/>
      <c r="D49" s="12"/>
    </row>
    <row r="50" spans="1:4">
      <c r="A50" s="12"/>
      <c r="B50" s="12"/>
      <c r="C50" s="12"/>
      <c r="D50" s="12"/>
    </row>
    <row r="51" spans="1:4">
      <c r="A51" s="17" t="s">
        <v>174</v>
      </c>
      <c r="B51" s="17">
        <f>SUM(B44,B49)</f>
        <v>542</v>
      </c>
      <c r="C51" s="12"/>
      <c r="D51" s="12"/>
    </row>
    <row r="52" spans="1:4">
      <c r="A52" s="17" t="s">
        <v>175</v>
      </c>
      <c r="B52" s="17">
        <f>ROUND(B44/B51*100,1)</f>
        <v>57.6</v>
      </c>
      <c r="C52" s="12"/>
      <c r="D52" s="12"/>
    </row>
    <row r="53" spans="1:4">
      <c r="A53" s="17" t="s">
        <v>176</v>
      </c>
      <c r="B53" s="17">
        <f>ROUND(B49/B51*100,1)</f>
        <v>42.4</v>
      </c>
      <c r="C53" s="12"/>
      <c r="D53" s="12"/>
    </row>
    <row r="54" spans="1:4">
      <c r="A54" t="s">
        <v>170</v>
      </c>
    </row>
    <row r="55" spans="1:4">
      <c r="A55" t="s">
        <v>149</v>
      </c>
    </row>
    <row r="56" spans="1:4">
      <c r="A56" t="s">
        <v>145</v>
      </c>
    </row>
    <row r="57" spans="1:4">
      <c r="A57" t="s">
        <v>148</v>
      </c>
    </row>
    <row r="58" spans="1:4">
      <c r="A58" t="s">
        <v>146</v>
      </c>
    </row>
    <row r="60" spans="1:4">
      <c r="A60" t="s">
        <v>177</v>
      </c>
    </row>
    <row r="61" spans="1:4">
      <c r="A61" s="12" t="s">
        <v>164</v>
      </c>
      <c r="B61" s="12"/>
      <c r="C61" s="12" t="s">
        <v>165</v>
      </c>
      <c r="D61" s="12"/>
    </row>
    <row r="62" spans="1:4">
      <c r="A62" s="12" t="s">
        <v>145</v>
      </c>
      <c r="B62" s="12">
        <v>456</v>
      </c>
      <c r="C62" s="12">
        <f>ROUND((B62/$B$64)*100,1)</f>
        <v>72.8</v>
      </c>
      <c r="D62" s="12" t="s">
        <v>166</v>
      </c>
    </row>
    <row r="63" spans="1:4">
      <c r="A63" s="12" t="s">
        <v>148</v>
      </c>
      <c r="B63" s="12">
        <v>170</v>
      </c>
      <c r="C63" s="12">
        <f>ROUND((B63/$B$64)*100,1)</f>
        <v>27.2</v>
      </c>
      <c r="D63" s="12"/>
    </row>
    <row r="64" spans="1:4">
      <c r="A64" s="12" t="s">
        <v>167</v>
      </c>
      <c r="B64" s="12">
        <f>SUM(B62:B63)</f>
        <v>626</v>
      </c>
      <c r="C64" s="12"/>
      <c r="D64" s="12"/>
    </row>
    <row r="65" spans="1:4">
      <c r="A65" s="12"/>
      <c r="B65" s="12"/>
      <c r="C65" s="12"/>
      <c r="D65" s="12"/>
    </row>
    <row r="66" spans="1:4">
      <c r="A66" s="12" t="s">
        <v>154</v>
      </c>
      <c r="B66" s="12"/>
      <c r="C66" s="12" t="s">
        <v>165</v>
      </c>
      <c r="D66" s="12"/>
    </row>
    <row r="67" spans="1:4">
      <c r="A67" s="12" t="s">
        <v>145</v>
      </c>
      <c r="B67" s="12">
        <v>1</v>
      </c>
      <c r="C67" s="12">
        <f>ROUND((B67/$B$69)*100,1)</f>
        <v>33.299999999999997</v>
      </c>
      <c r="D67" s="12" t="s">
        <v>166</v>
      </c>
    </row>
    <row r="68" spans="1:4">
      <c r="A68" s="12" t="s">
        <v>148</v>
      </c>
      <c r="B68" s="12">
        <v>2</v>
      </c>
      <c r="C68" s="12">
        <f>ROUND((B68/$B$69)*100,1)</f>
        <v>66.7</v>
      </c>
      <c r="D68" s="12"/>
    </row>
    <row r="69" spans="1:4">
      <c r="A69" s="12" t="s">
        <v>167</v>
      </c>
      <c r="B69" s="12">
        <f>SUM(B67:B68)</f>
        <v>3</v>
      </c>
      <c r="C69" s="12"/>
      <c r="D69" s="12"/>
    </row>
    <row r="70" spans="1:4">
      <c r="A70" s="12"/>
      <c r="B70" s="12"/>
      <c r="C70" s="12"/>
      <c r="D70" s="12"/>
    </row>
    <row r="71" spans="1:4">
      <c r="A71" s="17" t="s">
        <v>174</v>
      </c>
      <c r="B71" s="17">
        <f>SUM(B64,B69)</f>
        <v>629</v>
      </c>
      <c r="C71" s="12"/>
      <c r="D71" s="12"/>
    </row>
    <row r="72" spans="1:4">
      <c r="A72" s="17" t="s">
        <v>175</v>
      </c>
      <c r="B72" s="17">
        <f>ROUND(B64/B71*100,1)</f>
        <v>99.5</v>
      </c>
      <c r="C72" s="12"/>
      <c r="D72" s="12"/>
    </row>
    <row r="73" spans="1:4">
      <c r="A73" s="17" t="s">
        <v>176</v>
      </c>
      <c r="B73" s="17">
        <f>ROUND(B69/B71*100,1)</f>
        <v>0.5</v>
      </c>
      <c r="C73" s="12"/>
      <c r="D73" s="12"/>
    </row>
    <row r="74" spans="1:4">
      <c r="A74" t="s">
        <v>177</v>
      </c>
    </row>
    <row r="75" spans="1:4">
      <c r="A75" t="s">
        <v>149</v>
      </c>
    </row>
    <row r="76" spans="1:4">
      <c r="A76" t="s">
        <v>145</v>
      </c>
    </row>
    <row r="77" spans="1:4">
      <c r="A77" t="s">
        <v>148</v>
      </c>
    </row>
    <row r="78" spans="1:4">
      <c r="A78" t="s">
        <v>146</v>
      </c>
    </row>
    <row r="99" spans="1:12" ht="92.25">
      <c r="A99" s="30" t="s">
        <v>178</v>
      </c>
    </row>
    <row r="100" spans="1:12" ht="32.25">
      <c r="A100" s="20" t="s">
        <v>135</v>
      </c>
      <c r="B100" s="21" t="s">
        <v>179</v>
      </c>
      <c r="C100" s="22" t="s">
        <v>136</v>
      </c>
      <c r="D100" s="23"/>
      <c r="E100" s="23"/>
      <c r="F100" s="23"/>
      <c r="G100" s="23"/>
      <c r="H100" s="23"/>
      <c r="I100" s="23"/>
      <c r="J100" s="23"/>
      <c r="K100" s="23"/>
      <c r="L100" s="23" t="s">
        <v>180</v>
      </c>
    </row>
    <row r="101" spans="1:12" ht="48.75">
      <c r="A101" s="24" t="s">
        <v>137</v>
      </c>
      <c r="B101" s="25">
        <v>1471</v>
      </c>
      <c r="C101" s="22" t="s">
        <v>138</v>
      </c>
      <c r="D101" s="23" t="s">
        <v>181</v>
      </c>
      <c r="E101" s="23"/>
      <c r="F101" s="23"/>
      <c r="G101" s="23"/>
      <c r="H101" s="23"/>
      <c r="I101" s="23"/>
      <c r="J101" s="23"/>
      <c r="K101" s="23"/>
      <c r="L101" s="23" t="s">
        <v>182</v>
      </c>
    </row>
    <row r="102" spans="1:12" ht="32.25">
      <c r="A102" s="24" t="s">
        <v>140</v>
      </c>
      <c r="B102" s="25">
        <v>962</v>
      </c>
      <c r="C102" s="26" t="s">
        <v>141</v>
      </c>
      <c r="D102" s="23"/>
      <c r="E102" s="23"/>
      <c r="F102" s="23"/>
      <c r="G102" s="23"/>
      <c r="H102" s="23"/>
      <c r="I102" s="23"/>
      <c r="J102" s="23"/>
      <c r="K102" s="23"/>
      <c r="L102" s="23" t="s">
        <v>183</v>
      </c>
    </row>
    <row r="103" spans="1:12">
      <c r="A103" s="24" t="s">
        <v>142</v>
      </c>
      <c r="B103" s="25">
        <v>253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3" t="s">
        <v>143</v>
      </c>
      <c r="B104" s="23">
        <v>256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3" t="s">
        <v>144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0" t="s">
        <v>145</v>
      </c>
      <c r="B109" s="21" t="s">
        <v>146</v>
      </c>
      <c r="C109" s="23" t="s">
        <v>147</v>
      </c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4" t="s">
        <v>148</v>
      </c>
      <c r="B110" s="25" t="s">
        <v>149</v>
      </c>
      <c r="C110" s="23" t="s">
        <v>150</v>
      </c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3" t="s">
        <v>151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3" t="s">
        <v>152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3" t="s">
        <v>153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3" t="s">
        <v>154</v>
      </c>
      <c r="B116" s="23"/>
      <c r="C116" s="23"/>
      <c r="D116" s="23"/>
      <c r="E116" s="23"/>
      <c r="F116" s="23" t="s">
        <v>155</v>
      </c>
      <c r="G116" s="23" t="s">
        <v>156</v>
      </c>
      <c r="H116" s="23"/>
      <c r="I116" s="23"/>
      <c r="J116" s="23"/>
      <c r="K116" s="23"/>
      <c r="L116" s="23"/>
    </row>
    <row r="117" spans="1:12">
      <c r="A117" s="23" t="s">
        <v>157</v>
      </c>
      <c r="B117" s="23"/>
      <c r="C117" s="23"/>
      <c r="D117" s="23"/>
      <c r="E117" s="23"/>
      <c r="F117" s="23" t="s">
        <v>158</v>
      </c>
      <c r="G117" s="23" t="s">
        <v>159</v>
      </c>
      <c r="H117" s="23"/>
      <c r="I117" s="23"/>
      <c r="J117" s="23"/>
      <c r="K117" s="23"/>
      <c r="L117" s="23"/>
    </row>
    <row r="118" spans="1:12">
      <c r="A118" s="23" t="s">
        <v>160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3" t="s">
        <v>161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3" t="s">
        <v>149</v>
      </c>
      <c r="B123" s="23">
        <v>151</v>
      </c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3" t="s">
        <v>145</v>
      </c>
      <c r="B124" s="23">
        <v>824</v>
      </c>
      <c r="C124" s="23" t="s">
        <v>184</v>
      </c>
      <c r="D124" s="27">
        <v>67.8</v>
      </c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3" t="s">
        <v>148</v>
      </c>
      <c r="B125" s="23">
        <v>391</v>
      </c>
      <c r="C125" s="23" t="s">
        <v>185</v>
      </c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3" t="s">
        <v>146</v>
      </c>
      <c r="B126" s="23">
        <v>105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3" t="s">
        <v>164</v>
      </c>
      <c r="B128" s="23"/>
      <c r="C128" s="23" t="s">
        <v>165</v>
      </c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3" t="s">
        <v>145</v>
      </c>
      <c r="B129" s="23">
        <v>705</v>
      </c>
      <c r="C129" s="23">
        <v>73.3</v>
      </c>
      <c r="D129" s="23" t="s">
        <v>166</v>
      </c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3" t="s">
        <v>148</v>
      </c>
      <c r="B130" s="23">
        <v>257</v>
      </c>
      <c r="C130" s="23">
        <v>26.7</v>
      </c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3" t="s">
        <v>167</v>
      </c>
      <c r="B131" s="23">
        <v>962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3" t="s">
        <v>154</v>
      </c>
      <c r="B133" s="23"/>
      <c r="C133" s="23" t="s">
        <v>165</v>
      </c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3" t="s">
        <v>145</v>
      </c>
      <c r="B134" s="23">
        <v>119</v>
      </c>
      <c r="C134" s="23">
        <v>47</v>
      </c>
      <c r="D134" s="23" t="s">
        <v>166</v>
      </c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3" t="s">
        <v>148</v>
      </c>
      <c r="B135" s="23">
        <v>134</v>
      </c>
      <c r="C135" s="23">
        <v>53</v>
      </c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3" t="s">
        <v>167</v>
      </c>
      <c r="B136" s="23">
        <v>253</v>
      </c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3"/>
      <c r="B138" s="23"/>
      <c r="C138" s="23"/>
      <c r="D138" s="23"/>
      <c r="E138" s="23"/>
      <c r="F138" s="28" t="s">
        <v>168</v>
      </c>
      <c r="G138" s="28"/>
      <c r="H138" s="28" t="s">
        <v>179</v>
      </c>
      <c r="I138" s="28" t="s">
        <v>179</v>
      </c>
      <c r="J138" s="28" t="s">
        <v>169</v>
      </c>
      <c r="K138" s="28"/>
      <c r="L138" s="28" t="s">
        <v>179</v>
      </c>
    </row>
    <row r="139" spans="1:12">
      <c r="A139" s="23" t="s">
        <v>170</v>
      </c>
      <c r="B139" s="23"/>
      <c r="C139" s="23"/>
      <c r="D139" s="23"/>
      <c r="E139" s="23"/>
      <c r="F139" s="28" t="s">
        <v>99</v>
      </c>
      <c r="G139" s="28" t="s">
        <v>179</v>
      </c>
      <c r="H139" s="28" t="s">
        <v>179</v>
      </c>
      <c r="I139" s="28" t="s">
        <v>179</v>
      </c>
      <c r="J139" s="28" t="s">
        <v>99</v>
      </c>
      <c r="K139" s="28" t="s">
        <v>179</v>
      </c>
      <c r="L139" s="28" t="s">
        <v>179</v>
      </c>
    </row>
    <row r="140" spans="1:12">
      <c r="A140" s="27" t="s">
        <v>164</v>
      </c>
      <c r="B140" s="27" t="s">
        <v>179</v>
      </c>
      <c r="C140" s="27" t="s">
        <v>165</v>
      </c>
      <c r="D140" s="27" t="s">
        <v>179</v>
      </c>
      <c r="E140" s="23"/>
      <c r="F140" s="28" t="s">
        <v>171</v>
      </c>
      <c r="G140" s="28">
        <v>336</v>
      </c>
      <c r="H140" s="28">
        <v>57.3</v>
      </c>
      <c r="I140" s="28" t="s">
        <v>179</v>
      </c>
      <c r="J140" s="28" t="s">
        <v>171</v>
      </c>
      <c r="K140" s="28">
        <v>249</v>
      </c>
      <c r="L140" s="28">
        <v>67.8</v>
      </c>
    </row>
    <row r="141" spans="1:12">
      <c r="A141" s="27" t="s">
        <v>145</v>
      </c>
      <c r="B141" s="27">
        <v>249</v>
      </c>
      <c r="C141" s="27">
        <v>74.099999999999994</v>
      </c>
      <c r="D141" s="27" t="s">
        <v>166</v>
      </c>
      <c r="E141" s="23"/>
      <c r="F141" s="28" t="s">
        <v>172</v>
      </c>
      <c r="G141" s="28">
        <v>250</v>
      </c>
      <c r="H141" s="28">
        <v>42.7</v>
      </c>
      <c r="I141" s="28" t="s">
        <v>179</v>
      </c>
      <c r="J141" s="28" t="s">
        <v>172</v>
      </c>
      <c r="K141" s="28">
        <v>118</v>
      </c>
      <c r="L141" s="28">
        <v>32.200000000000003</v>
      </c>
    </row>
    <row r="142" spans="1:12">
      <c r="A142" s="27" t="s">
        <v>148</v>
      </c>
      <c r="B142" s="27">
        <v>87</v>
      </c>
      <c r="C142" s="27">
        <v>25.9</v>
      </c>
      <c r="D142" s="27" t="s">
        <v>179</v>
      </c>
      <c r="E142" s="23"/>
      <c r="F142" s="28" t="s">
        <v>173</v>
      </c>
      <c r="G142" s="28">
        <v>586</v>
      </c>
      <c r="H142" s="28" t="s">
        <v>179</v>
      </c>
      <c r="I142" s="28" t="s">
        <v>179</v>
      </c>
      <c r="J142" s="28" t="s">
        <v>173</v>
      </c>
      <c r="K142" s="28">
        <v>367</v>
      </c>
      <c r="L142" s="28" t="s">
        <v>179</v>
      </c>
    </row>
    <row r="143" spans="1:12">
      <c r="A143" s="27" t="s">
        <v>167</v>
      </c>
      <c r="B143" s="27">
        <v>336</v>
      </c>
      <c r="C143" s="27" t="s">
        <v>179</v>
      </c>
      <c r="D143" s="27" t="s">
        <v>179</v>
      </c>
      <c r="E143" s="23"/>
      <c r="F143" s="28" t="s">
        <v>179</v>
      </c>
      <c r="G143" s="28" t="s">
        <v>179</v>
      </c>
      <c r="H143" s="28" t="s">
        <v>179</v>
      </c>
      <c r="I143" s="28" t="s">
        <v>179</v>
      </c>
      <c r="J143" s="28" t="s">
        <v>179</v>
      </c>
      <c r="K143" s="28" t="s">
        <v>179</v>
      </c>
      <c r="L143" s="28" t="s">
        <v>179</v>
      </c>
    </row>
    <row r="144" spans="1:12">
      <c r="A144" s="27" t="s">
        <v>179</v>
      </c>
      <c r="B144" s="27" t="s">
        <v>179</v>
      </c>
      <c r="C144" s="27" t="s">
        <v>179</v>
      </c>
      <c r="D144" s="27" t="s">
        <v>179</v>
      </c>
      <c r="E144" s="23"/>
      <c r="F144" s="28" t="s">
        <v>1</v>
      </c>
      <c r="G144" s="28" t="s">
        <v>179</v>
      </c>
      <c r="H144" s="28" t="s">
        <v>179</v>
      </c>
      <c r="I144" s="28" t="s">
        <v>179</v>
      </c>
      <c r="J144" s="28" t="s">
        <v>1</v>
      </c>
      <c r="K144" s="28" t="s">
        <v>179</v>
      </c>
      <c r="L144" s="28" t="s">
        <v>179</v>
      </c>
    </row>
    <row r="145" spans="1:12">
      <c r="A145" s="27" t="s">
        <v>154</v>
      </c>
      <c r="B145" s="27" t="s">
        <v>179</v>
      </c>
      <c r="C145" s="27" t="s">
        <v>165</v>
      </c>
      <c r="D145" s="27" t="s">
        <v>179</v>
      </c>
      <c r="E145" s="23"/>
      <c r="F145" s="28" t="s">
        <v>171</v>
      </c>
      <c r="G145" s="28">
        <v>626</v>
      </c>
      <c r="H145" s="28">
        <v>99.5</v>
      </c>
      <c r="I145" s="28" t="s">
        <v>179</v>
      </c>
      <c r="J145" s="28" t="s">
        <v>171</v>
      </c>
      <c r="K145" s="28">
        <v>456</v>
      </c>
      <c r="L145" s="28">
        <v>99.8</v>
      </c>
    </row>
    <row r="146" spans="1:12">
      <c r="A146" s="27" t="s">
        <v>145</v>
      </c>
      <c r="B146" s="27">
        <v>118</v>
      </c>
      <c r="C146" s="27">
        <v>47.2</v>
      </c>
      <c r="D146" s="27" t="s">
        <v>166</v>
      </c>
      <c r="E146" s="23"/>
      <c r="F146" s="28" t="s">
        <v>172</v>
      </c>
      <c r="G146" s="28">
        <v>3</v>
      </c>
      <c r="H146" s="28">
        <v>0.5</v>
      </c>
      <c r="I146" s="28" t="s">
        <v>179</v>
      </c>
      <c r="J146" s="28" t="s">
        <v>172</v>
      </c>
      <c r="K146" s="28">
        <v>1</v>
      </c>
      <c r="L146" s="28">
        <v>0.2</v>
      </c>
    </row>
    <row r="147" spans="1:12">
      <c r="A147" s="27" t="s">
        <v>148</v>
      </c>
      <c r="B147" s="27">
        <v>132</v>
      </c>
      <c r="C147" s="27">
        <v>52.8</v>
      </c>
      <c r="D147" s="27" t="s">
        <v>179</v>
      </c>
      <c r="E147" s="23"/>
      <c r="F147" s="28" t="s">
        <v>173</v>
      </c>
      <c r="G147" s="28">
        <v>629</v>
      </c>
      <c r="H147" s="28" t="s">
        <v>179</v>
      </c>
      <c r="I147" s="28" t="s">
        <v>179</v>
      </c>
      <c r="J147" s="28" t="s">
        <v>173</v>
      </c>
      <c r="K147" s="28">
        <v>457</v>
      </c>
      <c r="L147" s="28" t="s">
        <v>179</v>
      </c>
    </row>
    <row r="148" spans="1:12">
      <c r="A148" s="27" t="s">
        <v>167</v>
      </c>
      <c r="B148" s="27">
        <v>250</v>
      </c>
      <c r="C148" s="27" t="s">
        <v>179</v>
      </c>
      <c r="D148" s="27" t="s">
        <v>179</v>
      </c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7" t="s">
        <v>179</v>
      </c>
      <c r="B149" s="27" t="s">
        <v>179</v>
      </c>
      <c r="C149" s="27" t="s">
        <v>179</v>
      </c>
      <c r="D149" s="27" t="s">
        <v>179</v>
      </c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9" t="s">
        <v>174</v>
      </c>
      <c r="B150" s="29">
        <v>586</v>
      </c>
      <c r="C150" s="27" t="s">
        <v>179</v>
      </c>
      <c r="D150" s="27" t="s">
        <v>179</v>
      </c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9" t="s">
        <v>175</v>
      </c>
      <c r="B151" s="29">
        <v>57.3</v>
      </c>
      <c r="C151" s="27" t="s">
        <v>179</v>
      </c>
      <c r="D151" s="27" t="s">
        <v>179</v>
      </c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9" t="s">
        <v>176</v>
      </c>
      <c r="B152" s="29">
        <v>42.7</v>
      </c>
      <c r="C152" s="27" t="s">
        <v>179</v>
      </c>
      <c r="D152" s="27" t="s">
        <v>179</v>
      </c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3" t="s">
        <v>170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3" t="s">
        <v>149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3" t="s">
        <v>145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>
      <c r="A156" s="23" t="s">
        <v>148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>
      <c r="A157" s="23" t="s">
        <v>146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>
      <c r="A159" s="23" t="s">
        <v>177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>
      <c r="A160" s="27" t="s">
        <v>164</v>
      </c>
      <c r="B160" s="27" t="s">
        <v>179</v>
      </c>
      <c r="C160" s="27" t="s">
        <v>165</v>
      </c>
      <c r="D160" s="27" t="s">
        <v>179</v>
      </c>
      <c r="E160" s="23"/>
      <c r="F160" s="23"/>
      <c r="G160" s="23"/>
      <c r="H160" s="23"/>
      <c r="I160" s="23"/>
      <c r="J160" s="23"/>
      <c r="K160" s="23"/>
      <c r="L160" s="23"/>
    </row>
    <row r="161" spans="1:12">
      <c r="A161" s="27" t="s">
        <v>145</v>
      </c>
      <c r="B161" s="27">
        <v>456</v>
      </c>
      <c r="C161" s="27">
        <v>72.8</v>
      </c>
      <c r="D161" s="27" t="s">
        <v>166</v>
      </c>
      <c r="E161" s="23"/>
      <c r="F161" s="23"/>
      <c r="G161" s="23"/>
      <c r="H161" s="23"/>
      <c r="I161" s="23"/>
      <c r="J161" s="23"/>
      <c r="K161" s="23"/>
      <c r="L161" s="23"/>
    </row>
    <row r="162" spans="1:12">
      <c r="A162" s="27" t="s">
        <v>148</v>
      </c>
      <c r="B162" s="27">
        <v>170</v>
      </c>
      <c r="C162" s="27">
        <v>27.2</v>
      </c>
      <c r="D162" s="27" t="s">
        <v>179</v>
      </c>
      <c r="E162" s="23"/>
      <c r="F162" s="23"/>
      <c r="G162" s="23"/>
      <c r="H162" s="23"/>
      <c r="I162" s="23"/>
      <c r="J162" s="23"/>
      <c r="K162" s="23"/>
      <c r="L162" s="23"/>
    </row>
    <row r="163" spans="1:12">
      <c r="A163" s="27" t="s">
        <v>167</v>
      </c>
      <c r="B163" s="27">
        <v>626</v>
      </c>
      <c r="C163" s="27" t="s">
        <v>179</v>
      </c>
      <c r="D163" s="27" t="s">
        <v>179</v>
      </c>
      <c r="E163" s="23"/>
      <c r="F163" s="23"/>
      <c r="G163" s="23"/>
      <c r="H163" s="23"/>
      <c r="I163" s="23"/>
      <c r="J163" s="23"/>
      <c r="K163" s="23"/>
      <c r="L163" s="23"/>
    </row>
    <row r="164" spans="1:12">
      <c r="A164" s="27" t="s">
        <v>179</v>
      </c>
      <c r="B164" s="27" t="s">
        <v>179</v>
      </c>
      <c r="C164" s="27" t="s">
        <v>179</v>
      </c>
      <c r="D164" s="27" t="s">
        <v>179</v>
      </c>
      <c r="E164" s="23"/>
      <c r="F164" s="23"/>
      <c r="G164" s="23"/>
      <c r="H164" s="23"/>
      <c r="I164" s="23"/>
      <c r="J164" s="23"/>
      <c r="K164" s="23"/>
      <c r="L164" s="23"/>
    </row>
    <row r="165" spans="1:12">
      <c r="A165" s="27" t="s">
        <v>154</v>
      </c>
      <c r="B165" s="27" t="s">
        <v>179</v>
      </c>
      <c r="C165" s="27" t="s">
        <v>165</v>
      </c>
      <c r="D165" s="27" t="s">
        <v>179</v>
      </c>
      <c r="E165" s="23"/>
      <c r="F165" s="23"/>
      <c r="G165" s="23"/>
      <c r="H165" s="23"/>
      <c r="I165" s="23"/>
      <c r="J165" s="23"/>
      <c r="K165" s="23"/>
      <c r="L165" s="23"/>
    </row>
    <row r="166" spans="1:12">
      <c r="A166" s="27" t="s">
        <v>145</v>
      </c>
      <c r="B166" s="27">
        <v>1</v>
      </c>
      <c r="C166" s="27">
        <v>33.299999999999997</v>
      </c>
      <c r="D166" s="27" t="s">
        <v>166</v>
      </c>
      <c r="E166" s="23"/>
      <c r="F166" s="23"/>
      <c r="G166" s="23"/>
      <c r="H166" s="23"/>
      <c r="I166" s="23"/>
      <c r="J166" s="23"/>
      <c r="K166" s="23"/>
      <c r="L166" s="23"/>
    </row>
    <row r="167" spans="1:12">
      <c r="A167" s="27" t="s">
        <v>148</v>
      </c>
      <c r="B167" s="27">
        <v>2</v>
      </c>
      <c r="C167" s="27">
        <v>66.7</v>
      </c>
      <c r="D167" s="27" t="s">
        <v>179</v>
      </c>
      <c r="E167" s="23"/>
      <c r="F167" s="23"/>
      <c r="G167" s="23"/>
      <c r="H167" s="23"/>
      <c r="I167" s="23"/>
      <c r="J167" s="23"/>
      <c r="K167" s="23"/>
      <c r="L167" s="23"/>
    </row>
    <row r="168" spans="1:12">
      <c r="A168" s="27" t="s">
        <v>167</v>
      </c>
      <c r="B168" s="27">
        <v>3</v>
      </c>
      <c r="C168" s="27" t="s">
        <v>179</v>
      </c>
      <c r="D168" s="27" t="s">
        <v>179</v>
      </c>
      <c r="E168" s="23"/>
      <c r="F168" s="23"/>
      <c r="G168" s="23"/>
      <c r="H168" s="23"/>
      <c r="I168" s="23"/>
      <c r="J168" s="23"/>
      <c r="K168" s="23"/>
      <c r="L168" s="23"/>
    </row>
    <row r="169" spans="1:12">
      <c r="A169" s="27" t="s">
        <v>179</v>
      </c>
      <c r="B169" s="27" t="s">
        <v>179</v>
      </c>
      <c r="C169" s="27" t="s">
        <v>179</v>
      </c>
      <c r="D169" s="27" t="s">
        <v>179</v>
      </c>
      <c r="E169" s="23"/>
      <c r="F169" s="23"/>
      <c r="G169" s="23"/>
      <c r="H169" s="23"/>
      <c r="I169" s="23"/>
      <c r="J169" s="23"/>
      <c r="K169" s="23"/>
      <c r="L169" s="23"/>
    </row>
    <row r="170" spans="1:12">
      <c r="A170" s="29" t="s">
        <v>174</v>
      </c>
      <c r="B170" s="29">
        <v>629</v>
      </c>
      <c r="C170" s="27" t="s">
        <v>179</v>
      </c>
      <c r="D170" s="27" t="s">
        <v>179</v>
      </c>
      <c r="E170" s="23"/>
      <c r="F170" s="23"/>
      <c r="G170" s="23"/>
      <c r="H170" s="23"/>
      <c r="I170" s="23"/>
      <c r="J170" s="23"/>
      <c r="K170" s="23"/>
      <c r="L170" s="23"/>
    </row>
    <row r="171" spans="1:12">
      <c r="A171" s="29" t="s">
        <v>175</v>
      </c>
      <c r="B171" s="29">
        <v>99.5</v>
      </c>
      <c r="C171" s="27" t="s">
        <v>179</v>
      </c>
      <c r="D171" s="27" t="s">
        <v>179</v>
      </c>
      <c r="E171" s="23"/>
      <c r="F171" s="23"/>
      <c r="G171" s="23"/>
      <c r="H171" s="23"/>
      <c r="I171" s="23"/>
      <c r="J171" s="23"/>
      <c r="K171" s="23"/>
      <c r="L171" s="23"/>
    </row>
    <row r="172" spans="1:12">
      <c r="A172" s="29" t="s">
        <v>176</v>
      </c>
      <c r="B172" s="29">
        <v>0.5</v>
      </c>
      <c r="C172" s="27" t="s">
        <v>179</v>
      </c>
      <c r="D172" s="27" t="s">
        <v>179</v>
      </c>
      <c r="E172" s="23"/>
      <c r="F172" s="23"/>
      <c r="G172" s="23"/>
      <c r="H172" s="23"/>
      <c r="I172" s="23"/>
      <c r="J172" s="23"/>
      <c r="K172" s="23"/>
      <c r="L172" s="23"/>
    </row>
    <row r="173" spans="1:12">
      <c r="A173" s="23" t="s">
        <v>177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</row>
    <row r="174" spans="1:12">
      <c r="A174" s="23" t="s">
        <v>149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</row>
    <row r="175" spans="1:12">
      <c r="A175" s="23" t="s">
        <v>145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</row>
    <row r="176" spans="1:12">
      <c r="A176" s="23" t="s">
        <v>148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</row>
    <row r="177" spans="1:12">
      <c r="A177" s="23" t="s">
        <v>146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F724-6F30-C64B-8B3F-45AD121BE028}">
  <dimension ref="A1:I861"/>
  <sheetViews>
    <sheetView zoomScale="75" workbookViewId="0">
      <pane xSplit="2" ySplit="1" topLeftCell="C640" activePane="bottomRight" state="frozen"/>
      <selection pane="bottomRight" activeCell="C430" sqref="C430"/>
      <selection pane="bottomLeft" activeCell="A2" sqref="A2"/>
      <selection pane="topRight" activeCell="C1" sqref="C1"/>
    </sheetView>
  </sheetViews>
  <sheetFormatPr defaultColWidth="11" defaultRowHeight="15.75" customHeight="1"/>
  <cols>
    <col min="1" max="1" width="29.375" bestFit="1" customWidth="1"/>
    <col min="2" max="2" width="19.875" bestFit="1" customWidth="1"/>
    <col min="3" max="3" width="26.125" bestFit="1" customWidth="1"/>
    <col min="4" max="4" width="26.125" customWidth="1"/>
    <col min="5" max="5" width="12.375" bestFit="1" customWidth="1"/>
    <col min="6" max="6" width="14.875" bestFit="1" customWidth="1"/>
    <col min="7" max="7" width="15" bestFit="1" customWidth="1"/>
    <col min="8" max="8" width="19.5" bestFit="1" customWidth="1"/>
    <col min="9" max="9" width="37.5" bestFit="1" customWidth="1"/>
  </cols>
  <sheetData>
    <row r="1" spans="1:9" ht="101.1" customHeight="1">
      <c r="A1" s="1" t="s">
        <v>7</v>
      </c>
      <c r="B1" s="1" t="s">
        <v>8</v>
      </c>
      <c r="C1" s="1" t="s">
        <v>9</v>
      </c>
      <c r="D1" s="1" t="s">
        <v>13</v>
      </c>
      <c r="E1" s="10" t="s">
        <v>186</v>
      </c>
      <c r="F1" s="10" t="s">
        <v>187</v>
      </c>
      <c r="G1" s="6" t="s">
        <v>188</v>
      </c>
      <c r="H1" s="6" t="s">
        <v>189</v>
      </c>
      <c r="I1" s="1" t="s">
        <v>190</v>
      </c>
    </row>
    <row r="2" spans="1:9" ht="15.95">
      <c r="A2" s="2" t="s">
        <v>100</v>
      </c>
      <c r="B2" t="s">
        <v>119</v>
      </c>
      <c r="C2">
        <v>0</v>
      </c>
      <c r="D2" t="s">
        <v>51</v>
      </c>
    </row>
    <row r="3" spans="1:9" ht="15.95">
      <c r="A3" s="2" t="s">
        <v>100</v>
      </c>
      <c r="B3" t="s">
        <v>119</v>
      </c>
      <c r="C3">
        <v>10</v>
      </c>
      <c r="D3" t="s">
        <v>51</v>
      </c>
    </row>
    <row r="4" spans="1:9" ht="15.95">
      <c r="A4" s="2" t="s">
        <v>100</v>
      </c>
      <c r="B4" t="s">
        <v>119</v>
      </c>
      <c r="C4">
        <v>20</v>
      </c>
      <c r="D4" t="s">
        <v>51</v>
      </c>
    </row>
    <row r="5" spans="1:9" ht="15.95">
      <c r="A5" s="2" t="s">
        <v>100</v>
      </c>
      <c r="B5" t="s">
        <v>119</v>
      </c>
      <c r="C5">
        <v>60</v>
      </c>
      <c r="F5">
        <v>1</v>
      </c>
    </row>
    <row r="6" spans="1:9" ht="15.95">
      <c r="A6" s="2" t="s">
        <v>100</v>
      </c>
      <c r="B6" t="s">
        <v>119</v>
      </c>
      <c r="C6">
        <v>80</v>
      </c>
      <c r="F6">
        <v>1</v>
      </c>
    </row>
    <row r="7" spans="1:9" ht="15.95">
      <c r="A7" s="2" t="s">
        <v>100</v>
      </c>
      <c r="B7" t="s">
        <v>119</v>
      </c>
      <c r="C7">
        <v>90</v>
      </c>
      <c r="F7">
        <v>1</v>
      </c>
    </row>
    <row r="8" spans="1:9" ht="15.95">
      <c r="A8" s="2" t="s">
        <v>100</v>
      </c>
      <c r="B8" t="s">
        <v>119</v>
      </c>
      <c r="C8">
        <v>120</v>
      </c>
      <c r="E8">
        <v>1</v>
      </c>
      <c r="F8">
        <v>2</v>
      </c>
    </row>
    <row r="9" spans="1:9" ht="15.95">
      <c r="A9" s="2" t="s">
        <v>100</v>
      </c>
      <c r="B9" t="s">
        <v>119</v>
      </c>
      <c r="C9">
        <v>130</v>
      </c>
      <c r="E9">
        <v>1</v>
      </c>
    </row>
    <row r="10" spans="1:9" ht="15.95">
      <c r="A10" s="2" t="s">
        <v>100</v>
      </c>
      <c r="B10" t="s">
        <v>119</v>
      </c>
      <c r="C10">
        <v>170</v>
      </c>
    </row>
    <row r="11" spans="1:9" ht="15.95">
      <c r="A11" s="2" t="s">
        <v>100</v>
      </c>
      <c r="B11" t="s">
        <v>119</v>
      </c>
      <c r="C11">
        <v>180</v>
      </c>
    </row>
    <row r="12" spans="1:9" ht="15.95">
      <c r="A12" s="2" t="s">
        <v>100</v>
      </c>
      <c r="B12" t="s">
        <v>119</v>
      </c>
      <c r="C12">
        <v>190</v>
      </c>
    </row>
    <row r="13" spans="1:9" ht="15.95">
      <c r="A13" s="2" t="s">
        <v>100</v>
      </c>
      <c r="B13" t="s">
        <v>119</v>
      </c>
      <c r="C13">
        <v>210</v>
      </c>
    </row>
    <row r="14" spans="1:9" ht="15.95">
      <c r="A14" s="2" t="s">
        <v>100</v>
      </c>
      <c r="B14" t="s">
        <v>119</v>
      </c>
      <c r="C14">
        <v>220</v>
      </c>
    </row>
    <row r="15" spans="1:9" ht="15.95">
      <c r="A15" s="2" t="s">
        <v>100</v>
      </c>
      <c r="B15" t="s">
        <v>119</v>
      </c>
      <c r="C15">
        <v>230</v>
      </c>
    </row>
    <row r="16" spans="1:9" ht="15.95">
      <c r="A16" s="2" t="s">
        <v>100</v>
      </c>
      <c r="B16" t="s">
        <v>119</v>
      </c>
      <c r="C16">
        <v>240</v>
      </c>
    </row>
    <row r="17" spans="1:3" ht="15.95">
      <c r="A17" s="2" t="s">
        <v>100</v>
      </c>
      <c r="B17" t="s">
        <v>119</v>
      </c>
      <c r="C17">
        <v>260</v>
      </c>
    </row>
    <row r="18" spans="1:3" ht="15.95">
      <c r="A18" s="2" t="s">
        <v>100</v>
      </c>
      <c r="B18" t="s">
        <v>119</v>
      </c>
      <c r="C18">
        <v>270</v>
      </c>
    </row>
    <row r="19" spans="1:3" ht="15.95">
      <c r="A19" s="2" t="s">
        <v>100</v>
      </c>
      <c r="B19" t="s">
        <v>119</v>
      </c>
      <c r="C19">
        <v>280</v>
      </c>
    </row>
    <row r="20" spans="1:3" ht="15.95">
      <c r="A20" s="2" t="s">
        <v>100</v>
      </c>
      <c r="B20" t="s">
        <v>119</v>
      </c>
      <c r="C20">
        <v>290</v>
      </c>
    </row>
    <row r="21" spans="1:3" ht="15.95">
      <c r="A21" s="2" t="s">
        <v>100</v>
      </c>
      <c r="B21" t="s">
        <v>119</v>
      </c>
      <c r="C21">
        <v>300</v>
      </c>
    </row>
    <row r="22" spans="1:3" ht="15.95">
      <c r="A22" s="2" t="s">
        <v>100</v>
      </c>
      <c r="B22" t="s">
        <v>119</v>
      </c>
      <c r="C22">
        <v>320</v>
      </c>
    </row>
    <row r="23" spans="1:3" ht="15.95">
      <c r="A23" s="2" t="s">
        <v>100</v>
      </c>
      <c r="B23" t="s">
        <v>119</v>
      </c>
      <c r="C23">
        <v>330</v>
      </c>
    </row>
    <row r="24" spans="1:3" ht="15.95">
      <c r="A24" s="2" t="s">
        <v>100</v>
      </c>
      <c r="B24" t="s">
        <v>119</v>
      </c>
      <c r="C24">
        <v>340</v>
      </c>
    </row>
    <row r="25" spans="1:3" ht="15.95">
      <c r="A25" s="2" t="s">
        <v>100</v>
      </c>
      <c r="B25" t="s">
        <v>119</v>
      </c>
      <c r="C25">
        <v>360</v>
      </c>
    </row>
    <row r="26" spans="1:3" ht="15.95">
      <c r="A26" s="2" t="s">
        <v>100</v>
      </c>
      <c r="B26" t="s">
        <v>119</v>
      </c>
      <c r="C26">
        <v>370</v>
      </c>
    </row>
    <row r="27" spans="1:3" ht="15.95">
      <c r="A27" s="2" t="s">
        <v>100</v>
      </c>
      <c r="B27" t="s">
        <v>119</v>
      </c>
      <c r="C27">
        <v>380</v>
      </c>
    </row>
    <row r="28" spans="1:3" ht="15.95">
      <c r="A28" s="2" t="s">
        <v>100</v>
      </c>
      <c r="B28" t="s">
        <v>119</v>
      </c>
      <c r="C28">
        <v>390</v>
      </c>
    </row>
    <row r="29" spans="1:3" ht="15.95">
      <c r="A29" s="2" t="s">
        <v>100</v>
      </c>
      <c r="B29" t="s">
        <v>119</v>
      </c>
      <c r="C29">
        <v>400</v>
      </c>
    </row>
    <row r="30" spans="1:3" ht="15.95">
      <c r="A30" s="2" t="s">
        <v>100</v>
      </c>
      <c r="B30" t="s">
        <v>119</v>
      </c>
      <c r="C30">
        <v>410</v>
      </c>
    </row>
    <row r="31" spans="1:3" ht="15.95">
      <c r="A31" s="2" t="s">
        <v>100</v>
      </c>
      <c r="B31" t="s">
        <v>119</v>
      </c>
      <c r="C31">
        <v>420</v>
      </c>
    </row>
    <row r="32" spans="1:3" ht="15.95">
      <c r="A32" s="2" t="s">
        <v>100</v>
      </c>
      <c r="B32" t="s">
        <v>119</v>
      </c>
      <c r="C32">
        <v>440</v>
      </c>
    </row>
    <row r="33" spans="1:4" ht="15.95">
      <c r="A33" s="2" t="s">
        <v>100</v>
      </c>
      <c r="B33" t="s">
        <v>119</v>
      </c>
      <c r="C33">
        <v>470</v>
      </c>
    </row>
    <row r="34" spans="1:4" ht="15.95">
      <c r="A34" s="2" t="s">
        <v>100</v>
      </c>
      <c r="B34" t="s">
        <v>119</v>
      </c>
      <c r="C34">
        <v>480</v>
      </c>
      <c r="D34" t="s">
        <v>51</v>
      </c>
    </row>
    <row r="35" spans="1:4" ht="17.25" customHeight="1">
      <c r="A35" s="2" t="s">
        <v>100</v>
      </c>
      <c r="B35" t="s">
        <v>119</v>
      </c>
      <c r="C35">
        <v>490</v>
      </c>
      <c r="D35" t="s">
        <v>51</v>
      </c>
    </row>
    <row r="36" spans="1:4" ht="17.25" customHeight="1">
      <c r="A36" s="2" t="s">
        <v>100</v>
      </c>
      <c r="B36" t="s">
        <v>119</v>
      </c>
      <c r="C36">
        <v>500</v>
      </c>
      <c r="D36" t="s">
        <v>51</v>
      </c>
    </row>
    <row r="37" spans="1:4" ht="17.25" customHeight="1">
      <c r="A37" s="2" t="s">
        <v>100</v>
      </c>
      <c r="B37" t="s">
        <v>119</v>
      </c>
      <c r="C37">
        <v>510</v>
      </c>
      <c r="D37" t="s">
        <v>51</v>
      </c>
    </row>
    <row r="38" spans="1:4" ht="17.25" customHeight="1">
      <c r="A38" s="2" t="s">
        <v>100</v>
      </c>
      <c r="B38" t="s">
        <v>119</v>
      </c>
      <c r="C38">
        <v>520</v>
      </c>
      <c r="D38" t="s">
        <v>51</v>
      </c>
    </row>
    <row r="39" spans="1:4" ht="17.25" customHeight="1">
      <c r="A39" s="2" t="s">
        <v>100</v>
      </c>
      <c r="B39" t="s">
        <v>119</v>
      </c>
      <c r="C39">
        <v>530</v>
      </c>
      <c r="D39" t="s">
        <v>51</v>
      </c>
    </row>
    <row r="40" spans="1:4" ht="17.25" customHeight="1">
      <c r="A40" s="2" t="s">
        <v>100</v>
      </c>
      <c r="B40" t="s">
        <v>119</v>
      </c>
      <c r="C40">
        <v>540</v>
      </c>
      <c r="D40" t="s">
        <v>51</v>
      </c>
    </row>
    <row r="41" spans="1:4" ht="15.95">
      <c r="A41" s="2" t="s">
        <v>100</v>
      </c>
      <c r="B41" t="s">
        <v>119</v>
      </c>
      <c r="C41">
        <v>550</v>
      </c>
      <c r="D41" t="s">
        <v>51</v>
      </c>
    </row>
    <row r="42" spans="1:4" ht="15.95">
      <c r="A42" s="2" t="s">
        <v>100</v>
      </c>
      <c r="B42" t="s">
        <v>119</v>
      </c>
      <c r="C42">
        <v>640</v>
      </c>
      <c r="D42" t="s">
        <v>51</v>
      </c>
    </row>
    <row r="43" spans="1:4" ht="15.95">
      <c r="A43" s="2" t="s">
        <v>100</v>
      </c>
      <c r="B43" t="s">
        <v>119</v>
      </c>
      <c r="C43">
        <v>650</v>
      </c>
      <c r="D43" t="s">
        <v>51</v>
      </c>
    </row>
    <row r="44" spans="1:4" ht="15.95">
      <c r="A44" s="2" t="s">
        <v>100</v>
      </c>
      <c r="B44" t="s">
        <v>119</v>
      </c>
      <c r="C44">
        <v>670</v>
      </c>
      <c r="D44" t="s">
        <v>51</v>
      </c>
    </row>
    <row r="45" spans="1:4" ht="15.95">
      <c r="A45" s="2" t="s">
        <v>100</v>
      </c>
      <c r="B45" t="s">
        <v>119</v>
      </c>
      <c r="C45">
        <v>680</v>
      </c>
      <c r="D45" t="s">
        <v>51</v>
      </c>
    </row>
    <row r="46" spans="1:4" ht="15.95">
      <c r="A46" s="2" t="s">
        <v>100</v>
      </c>
      <c r="B46" t="s">
        <v>119</v>
      </c>
      <c r="C46">
        <v>690</v>
      </c>
      <c r="D46" t="s">
        <v>51</v>
      </c>
    </row>
    <row r="47" spans="1:4" ht="15.95">
      <c r="A47" s="2" t="s">
        <v>100</v>
      </c>
      <c r="B47" t="s">
        <v>119</v>
      </c>
      <c r="C47">
        <v>730</v>
      </c>
      <c r="D47" t="s">
        <v>51</v>
      </c>
    </row>
    <row r="48" spans="1:4" ht="15.95">
      <c r="A48" s="2" t="s">
        <v>100</v>
      </c>
      <c r="B48" t="s">
        <v>119</v>
      </c>
      <c r="C48">
        <v>750</v>
      </c>
      <c r="D48" t="s">
        <v>51</v>
      </c>
    </row>
    <row r="49" spans="1:4" ht="15.95">
      <c r="A49" s="2" t="s">
        <v>100</v>
      </c>
      <c r="B49" t="s">
        <v>119</v>
      </c>
      <c r="C49">
        <v>760</v>
      </c>
      <c r="D49" t="s">
        <v>51</v>
      </c>
    </row>
    <row r="50" spans="1:4" ht="15.95">
      <c r="A50" s="2" t="s">
        <v>100</v>
      </c>
      <c r="B50" t="s">
        <v>119</v>
      </c>
      <c r="C50">
        <v>770</v>
      </c>
      <c r="D50" t="s">
        <v>51</v>
      </c>
    </row>
    <row r="51" spans="1:4" ht="15.95">
      <c r="A51" s="2" t="s">
        <v>100</v>
      </c>
      <c r="B51" t="s">
        <v>119</v>
      </c>
      <c r="C51">
        <v>800</v>
      </c>
      <c r="D51" t="s">
        <v>51</v>
      </c>
    </row>
    <row r="52" spans="1:4" ht="15.95">
      <c r="A52" s="2" t="s">
        <v>100</v>
      </c>
      <c r="B52" t="s">
        <v>119</v>
      </c>
      <c r="C52">
        <v>810</v>
      </c>
      <c r="D52" t="s">
        <v>51</v>
      </c>
    </row>
    <row r="53" spans="1:4" ht="15.95">
      <c r="A53" s="2" t="s">
        <v>100</v>
      </c>
      <c r="B53" t="s">
        <v>119</v>
      </c>
      <c r="C53">
        <v>890</v>
      </c>
      <c r="D53" t="s">
        <v>51</v>
      </c>
    </row>
    <row r="54" spans="1:4" ht="15.95">
      <c r="A54" s="2" t="s">
        <v>100</v>
      </c>
      <c r="B54" t="s">
        <v>119</v>
      </c>
      <c r="C54">
        <v>900</v>
      </c>
      <c r="D54" t="s">
        <v>51</v>
      </c>
    </row>
    <row r="55" spans="1:4" ht="15.95">
      <c r="A55" s="2" t="s">
        <v>100</v>
      </c>
      <c r="B55" t="s">
        <v>119</v>
      </c>
      <c r="C55">
        <v>910</v>
      </c>
      <c r="D55" t="s">
        <v>51</v>
      </c>
    </row>
    <row r="56" spans="1:4" ht="15.95">
      <c r="A56" s="2" t="s">
        <v>100</v>
      </c>
      <c r="B56" t="s">
        <v>119</v>
      </c>
      <c r="C56">
        <v>920</v>
      </c>
      <c r="D56" t="s">
        <v>51</v>
      </c>
    </row>
    <row r="57" spans="1:4" ht="15.95">
      <c r="A57" s="2" t="s">
        <v>100</v>
      </c>
      <c r="B57" t="s">
        <v>119</v>
      </c>
      <c r="C57">
        <v>950</v>
      </c>
      <c r="D57" t="s">
        <v>51</v>
      </c>
    </row>
    <row r="58" spans="1:4" ht="15.95">
      <c r="A58" s="2" t="s">
        <v>100</v>
      </c>
      <c r="B58" t="s">
        <v>119</v>
      </c>
      <c r="C58">
        <v>960</v>
      </c>
      <c r="D58" t="s">
        <v>51</v>
      </c>
    </row>
    <row r="59" spans="1:4" ht="15.95">
      <c r="A59" s="2" t="s">
        <v>100</v>
      </c>
      <c r="B59" t="s">
        <v>119</v>
      </c>
      <c r="C59">
        <v>980</v>
      </c>
      <c r="D59" t="s">
        <v>51</v>
      </c>
    </row>
    <row r="60" spans="1:4" ht="15.95">
      <c r="A60" s="2" t="s">
        <v>100</v>
      </c>
      <c r="B60" t="s">
        <v>119</v>
      </c>
      <c r="C60">
        <v>1010</v>
      </c>
      <c r="D60" t="s">
        <v>51</v>
      </c>
    </row>
    <row r="61" spans="1:4" ht="15.95">
      <c r="A61" s="2" t="s">
        <v>100</v>
      </c>
      <c r="B61" t="s">
        <v>119</v>
      </c>
      <c r="C61">
        <v>1020</v>
      </c>
      <c r="D61" t="s">
        <v>51</v>
      </c>
    </row>
    <row r="62" spans="1:4" ht="15.95">
      <c r="A62" s="2" t="s">
        <v>100</v>
      </c>
      <c r="B62" t="s">
        <v>119</v>
      </c>
      <c r="C62">
        <v>1030</v>
      </c>
      <c r="D62" t="s">
        <v>51</v>
      </c>
    </row>
    <row r="63" spans="1:4" ht="15.95">
      <c r="A63" s="2" t="s">
        <v>100</v>
      </c>
      <c r="B63" t="s">
        <v>119</v>
      </c>
      <c r="C63">
        <v>1050</v>
      </c>
      <c r="D63" t="s">
        <v>51</v>
      </c>
    </row>
    <row r="64" spans="1:4" ht="15.95">
      <c r="A64" s="2" t="s">
        <v>100</v>
      </c>
      <c r="B64" t="s">
        <v>119</v>
      </c>
      <c r="C64">
        <v>1110</v>
      </c>
      <c r="D64" t="s">
        <v>51</v>
      </c>
    </row>
    <row r="65" spans="1:4" ht="15.95">
      <c r="A65" s="2" t="s">
        <v>100</v>
      </c>
      <c r="B65" t="s">
        <v>119</v>
      </c>
      <c r="C65">
        <v>1130</v>
      </c>
      <c r="D65" t="s">
        <v>51</v>
      </c>
    </row>
    <row r="66" spans="1:4" ht="15.95">
      <c r="A66" s="2" t="s">
        <v>100</v>
      </c>
      <c r="B66" t="s">
        <v>119</v>
      </c>
      <c r="C66">
        <v>1140</v>
      </c>
      <c r="D66" t="s">
        <v>51</v>
      </c>
    </row>
    <row r="67" spans="1:4" ht="15.95">
      <c r="A67" s="2" t="s">
        <v>100</v>
      </c>
      <c r="B67" t="s">
        <v>119</v>
      </c>
      <c r="C67">
        <v>1150</v>
      </c>
      <c r="D67" t="s">
        <v>51</v>
      </c>
    </row>
    <row r="68" spans="1:4" ht="15.95">
      <c r="A68" s="2" t="s">
        <v>100</v>
      </c>
      <c r="B68" t="s">
        <v>119</v>
      </c>
      <c r="C68">
        <v>1160</v>
      </c>
      <c r="D68" t="s">
        <v>51</v>
      </c>
    </row>
    <row r="69" spans="1:4" ht="15.95">
      <c r="A69" s="2" t="s">
        <v>100</v>
      </c>
      <c r="B69" t="s">
        <v>119</v>
      </c>
      <c r="C69">
        <v>1180</v>
      </c>
      <c r="D69" t="s">
        <v>51</v>
      </c>
    </row>
    <row r="70" spans="1:4" ht="15.95">
      <c r="A70" s="2" t="s">
        <v>100</v>
      </c>
      <c r="B70" t="s">
        <v>119</v>
      </c>
      <c r="C70">
        <v>1220</v>
      </c>
      <c r="D70" t="s">
        <v>51</v>
      </c>
    </row>
    <row r="71" spans="1:4" ht="15.95">
      <c r="A71" s="2" t="s">
        <v>100</v>
      </c>
      <c r="B71" t="s">
        <v>119</v>
      </c>
      <c r="C71">
        <v>1260</v>
      </c>
      <c r="D71" t="s">
        <v>51</v>
      </c>
    </row>
    <row r="72" spans="1:4" ht="15.95">
      <c r="A72" s="2" t="s">
        <v>100</v>
      </c>
      <c r="B72" t="s">
        <v>119</v>
      </c>
      <c r="C72">
        <v>1310</v>
      </c>
      <c r="D72" t="s">
        <v>51</v>
      </c>
    </row>
    <row r="73" spans="1:4" ht="15.95">
      <c r="A73" s="2" t="s">
        <v>100</v>
      </c>
      <c r="B73" t="s">
        <v>119</v>
      </c>
      <c r="C73">
        <v>1330</v>
      </c>
      <c r="D73" t="s">
        <v>51</v>
      </c>
    </row>
    <row r="74" spans="1:4" ht="15.95">
      <c r="A74" s="2" t="s">
        <v>100</v>
      </c>
      <c r="B74" t="s">
        <v>119</v>
      </c>
      <c r="C74">
        <v>1340</v>
      </c>
      <c r="D74" t="s">
        <v>51</v>
      </c>
    </row>
    <row r="75" spans="1:4" ht="15.95">
      <c r="A75" s="2" t="s">
        <v>100</v>
      </c>
      <c r="B75" t="s">
        <v>119</v>
      </c>
      <c r="C75">
        <v>1360</v>
      </c>
      <c r="D75" t="s">
        <v>51</v>
      </c>
    </row>
    <row r="76" spans="1:4" ht="15.95">
      <c r="A76" s="2" t="s">
        <v>100</v>
      </c>
      <c r="B76" t="s">
        <v>119</v>
      </c>
      <c r="C76">
        <v>1370</v>
      </c>
      <c r="D76" t="s">
        <v>51</v>
      </c>
    </row>
    <row r="77" spans="1:4" ht="15.95">
      <c r="A77" s="2" t="s">
        <v>100</v>
      </c>
      <c r="B77" t="s">
        <v>119</v>
      </c>
      <c r="C77">
        <v>1390</v>
      </c>
      <c r="D77" t="s">
        <v>51</v>
      </c>
    </row>
    <row r="78" spans="1:4" ht="15.95">
      <c r="A78" s="2" t="s">
        <v>100</v>
      </c>
      <c r="B78" t="s">
        <v>119</v>
      </c>
      <c r="C78">
        <v>1410</v>
      </c>
      <c r="D78" t="s">
        <v>51</v>
      </c>
    </row>
    <row r="79" spans="1:4" ht="15.95">
      <c r="A79" s="2" t="s">
        <v>100</v>
      </c>
      <c r="B79" t="s">
        <v>119</v>
      </c>
      <c r="C79">
        <v>1420</v>
      </c>
      <c r="D79" t="s">
        <v>51</v>
      </c>
    </row>
    <row r="80" spans="1:4" ht="15.95">
      <c r="A80" s="2" t="s">
        <v>100</v>
      </c>
      <c r="B80" t="s">
        <v>119</v>
      </c>
      <c r="C80">
        <v>1470</v>
      </c>
      <c r="D80" t="s">
        <v>51</v>
      </c>
    </row>
    <row r="81" spans="1:4" ht="15.95">
      <c r="A81" s="2" t="s">
        <v>100</v>
      </c>
      <c r="B81" t="s">
        <v>119</v>
      </c>
      <c r="C81">
        <v>1500</v>
      </c>
      <c r="D81" t="s">
        <v>51</v>
      </c>
    </row>
    <row r="82" spans="1:4" ht="15.95">
      <c r="A82" s="2" t="s">
        <v>100</v>
      </c>
      <c r="B82" t="s">
        <v>119</v>
      </c>
      <c r="C82">
        <v>1530</v>
      </c>
      <c r="D82" t="s">
        <v>51</v>
      </c>
    </row>
    <row r="83" spans="1:4" ht="15.95">
      <c r="A83" s="2" t="s">
        <v>100</v>
      </c>
      <c r="B83" t="s">
        <v>119</v>
      </c>
      <c r="C83">
        <v>1540</v>
      </c>
      <c r="D83" t="s">
        <v>51</v>
      </c>
    </row>
    <row r="84" spans="1:4" ht="15.95">
      <c r="A84" s="2" t="s">
        <v>100</v>
      </c>
      <c r="B84" t="s">
        <v>119</v>
      </c>
      <c r="C84">
        <v>1620</v>
      </c>
      <c r="D84" t="s">
        <v>51</v>
      </c>
    </row>
    <row r="86" spans="1:4" ht="15.95">
      <c r="A86" s="3" t="s">
        <v>100</v>
      </c>
      <c r="B86" s="1" t="s">
        <v>124</v>
      </c>
      <c r="C86">
        <v>30</v>
      </c>
    </row>
    <row r="87" spans="1:4" ht="15.95">
      <c r="A87" s="3" t="s">
        <v>100</v>
      </c>
      <c r="B87" s="1" t="s">
        <v>124</v>
      </c>
      <c r="C87">
        <v>60</v>
      </c>
    </row>
    <row r="88" spans="1:4" ht="15.95">
      <c r="A88" s="3" t="s">
        <v>100</v>
      </c>
      <c r="B88" s="1" t="s">
        <v>124</v>
      </c>
      <c r="C88">
        <v>70</v>
      </c>
    </row>
    <row r="89" spans="1:4" ht="15.95">
      <c r="A89" s="3" t="s">
        <v>100</v>
      </c>
      <c r="B89" s="1" t="s">
        <v>124</v>
      </c>
      <c r="C89">
        <v>80</v>
      </c>
    </row>
    <row r="90" spans="1:4" ht="15.95">
      <c r="A90" s="3" t="s">
        <v>100</v>
      </c>
      <c r="B90" s="1" t="s">
        <v>124</v>
      </c>
      <c r="C90">
        <v>120</v>
      </c>
    </row>
    <row r="91" spans="1:4" ht="15.95">
      <c r="A91" s="3" t="s">
        <v>100</v>
      </c>
      <c r="B91" s="1" t="s">
        <v>124</v>
      </c>
      <c r="C91">
        <v>130</v>
      </c>
    </row>
    <row r="92" spans="1:4" ht="15.95">
      <c r="A92" s="3" t="s">
        <v>100</v>
      </c>
      <c r="B92" s="1" t="s">
        <v>124</v>
      </c>
      <c r="C92">
        <v>140</v>
      </c>
    </row>
    <row r="93" spans="1:4" ht="15.95">
      <c r="A93" s="3" t="s">
        <v>100</v>
      </c>
      <c r="B93" s="1" t="s">
        <v>124</v>
      </c>
      <c r="C93">
        <v>150</v>
      </c>
    </row>
    <row r="94" spans="1:4" ht="15.95">
      <c r="A94" s="3" t="s">
        <v>100</v>
      </c>
      <c r="B94" s="1" t="s">
        <v>124</v>
      </c>
      <c r="C94">
        <v>160</v>
      </c>
    </row>
    <row r="95" spans="1:4" ht="15.95">
      <c r="A95" s="3" t="s">
        <v>100</v>
      </c>
      <c r="B95" s="1" t="s">
        <v>124</v>
      </c>
      <c r="C95">
        <v>230</v>
      </c>
    </row>
    <row r="96" spans="1:4" ht="15.95">
      <c r="A96" s="3" t="s">
        <v>100</v>
      </c>
      <c r="B96" s="1" t="s">
        <v>124</v>
      </c>
      <c r="C96">
        <v>260</v>
      </c>
    </row>
    <row r="97" spans="1:3" ht="15.95">
      <c r="A97" s="3" t="s">
        <v>100</v>
      </c>
      <c r="B97" s="1" t="s">
        <v>124</v>
      </c>
      <c r="C97">
        <v>270</v>
      </c>
    </row>
    <row r="98" spans="1:3" ht="15.95">
      <c r="A98" s="3" t="s">
        <v>100</v>
      </c>
      <c r="B98" s="1" t="s">
        <v>124</v>
      </c>
      <c r="C98">
        <v>300</v>
      </c>
    </row>
    <row r="99" spans="1:3" ht="15.95">
      <c r="A99" s="3" t="s">
        <v>100</v>
      </c>
      <c r="B99" s="1" t="s">
        <v>124</v>
      </c>
      <c r="C99">
        <v>360</v>
      </c>
    </row>
    <row r="100" spans="1:3" ht="15.95">
      <c r="A100" s="3" t="s">
        <v>100</v>
      </c>
      <c r="B100" s="1" t="s">
        <v>124</v>
      </c>
      <c r="C100">
        <v>370</v>
      </c>
    </row>
    <row r="101" spans="1:3" ht="15.95">
      <c r="A101" s="3" t="s">
        <v>100</v>
      </c>
      <c r="B101" s="1" t="s">
        <v>124</v>
      </c>
      <c r="C101">
        <v>380</v>
      </c>
    </row>
    <row r="102" spans="1:3" ht="15.95">
      <c r="A102" s="3" t="s">
        <v>100</v>
      </c>
      <c r="B102" s="1" t="s">
        <v>124</v>
      </c>
      <c r="C102">
        <v>390</v>
      </c>
    </row>
    <row r="103" spans="1:3" ht="15.95">
      <c r="A103" s="3" t="s">
        <v>100</v>
      </c>
      <c r="B103" s="1" t="s">
        <v>124</v>
      </c>
      <c r="C103">
        <v>400</v>
      </c>
    </row>
    <row r="104" spans="1:3" ht="15.95">
      <c r="A104" s="3" t="s">
        <v>100</v>
      </c>
      <c r="B104" s="1" t="s">
        <v>124</v>
      </c>
      <c r="C104">
        <v>410</v>
      </c>
    </row>
    <row r="105" spans="1:3" ht="15.95">
      <c r="A105" s="3" t="s">
        <v>100</v>
      </c>
      <c r="B105" s="1" t="s">
        <v>124</v>
      </c>
      <c r="C105">
        <v>510</v>
      </c>
    </row>
    <row r="106" spans="1:3" ht="15.95">
      <c r="A106" s="3" t="s">
        <v>100</v>
      </c>
      <c r="B106" s="1" t="s">
        <v>124</v>
      </c>
      <c r="C106">
        <v>590</v>
      </c>
    </row>
    <row r="107" spans="1:3" ht="15.95">
      <c r="A107" s="3" t="s">
        <v>100</v>
      </c>
      <c r="B107" s="1" t="s">
        <v>124</v>
      </c>
      <c r="C107">
        <v>660</v>
      </c>
    </row>
    <row r="108" spans="1:3" ht="15.95">
      <c r="A108" s="3" t="s">
        <v>100</v>
      </c>
      <c r="B108" s="1" t="s">
        <v>124</v>
      </c>
      <c r="C108">
        <v>690</v>
      </c>
    </row>
    <row r="109" spans="1:3" ht="15.95">
      <c r="A109" s="3" t="s">
        <v>100</v>
      </c>
      <c r="B109" s="1" t="s">
        <v>124</v>
      </c>
      <c r="C109">
        <v>710</v>
      </c>
    </row>
    <row r="110" spans="1:3" ht="15.95">
      <c r="A110" s="3" t="s">
        <v>100</v>
      </c>
      <c r="B110" s="1" t="s">
        <v>124</v>
      </c>
      <c r="C110">
        <v>720</v>
      </c>
    </row>
    <row r="111" spans="1:3" ht="15.95">
      <c r="A111" s="3" t="s">
        <v>100</v>
      </c>
      <c r="B111" s="1" t="s">
        <v>124</v>
      </c>
      <c r="C111">
        <v>750</v>
      </c>
    </row>
    <row r="112" spans="1:3" ht="15.95">
      <c r="A112" s="3" t="s">
        <v>100</v>
      </c>
      <c r="B112" s="1" t="s">
        <v>124</v>
      </c>
      <c r="C112">
        <v>770</v>
      </c>
    </row>
    <row r="113" spans="1:3" ht="15.95">
      <c r="A113" s="3" t="s">
        <v>100</v>
      </c>
      <c r="B113" s="1" t="s">
        <v>124</v>
      </c>
      <c r="C113">
        <v>780</v>
      </c>
    </row>
    <row r="114" spans="1:3" ht="15.95">
      <c r="A114" s="3" t="s">
        <v>100</v>
      </c>
      <c r="B114" s="1" t="s">
        <v>124</v>
      </c>
      <c r="C114">
        <v>800</v>
      </c>
    </row>
    <row r="115" spans="1:3" ht="15.95">
      <c r="A115" s="3" t="s">
        <v>100</v>
      </c>
      <c r="B115" s="1" t="s">
        <v>124</v>
      </c>
      <c r="C115">
        <v>810</v>
      </c>
    </row>
    <row r="116" spans="1:3" ht="15.95">
      <c r="A116" s="3" t="s">
        <v>100</v>
      </c>
      <c r="B116" s="1" t="s">
        <v>124</v>
      </c>
      <c r="C116">
        <v>820</v>
      </c>
    </row>
    <row r="118" spans="1:3" ht="15.95">
      <c r="A118" s="2" t="s">
        <v>100</v>
      </c>
      <c r="B118" t="s">
        <v>125</v>
      </c>
      <c r="C118">
        <v>10</v>
      </c>
    </row>
    <row r="119" spans="1:3" ht="15.95">
      <c r="A119" s="2" t="s">
        <v>100</v>
      </c>
      <c r="B119" t="s">
        <v>125</v>
      </c>
      <c r="C119">
        <v>40</v>
      </c>
    </row>
    <row r="120" spans="1:3" ht="15.95">
      <c r="A120" s="2" t="s">
        <v>100</v>
      </c>
      <c r="B120" t="s">
        <v>125</v>
      </c>
      <c r="C120">
        <v>60</v>
      </c>
    </row>
    <row r="121" spans="1:3" ht="15.95">
      <c r="A121" s="2" t="s">
        <v>100</v>
      </c>
      <c r="B121" t="s">
        <v>125</v>
      </c>
      <c r="C121">
        <v>70</v>
      </c>
    </row>
    <row r="122" spans="1:3" ht="15.95">
      <c r="A122" s="2" t="s">
        <v>100</v>
      </c>
      <c r="B122" t="s">
        <v>125</v>
      </c>
      <c r="C122">
        <v>80</v>
      </c>
    </row>
    <row r="123" spans="1:3" ht="15.95">
      <c r="A123" s="2" t="s">
        <v>100</v>
      </c>
      <c r="B123" t="s">
        <v>125</v>
      </c>
      <c r="C123">
        <v>100</v>
      </c>
    </row>
    <row r="124" spans="1:3" ht="15.95">
      <c r="A124" s="2" t="s">
        <v>100</v>
      </c>
      <c r="B124" t="s">
        <v>125</v>
      </c>
      <c r="C124">
        <v>110</v>
      </c>
    </row>
    <row r="125" spans="1:3" ht="15.95">
      <c r="A125" s="2" t="s">
        <v>100</v>
      </c>
      <c r="B125" t="s">
        <v>125</v>
      </c>
      <c r="C125">
        <v>180</v>
      </c>
    </row>
    <row r="126" spans="1:3" ht="15.95">
      <c r="A126" s="2" t="s">
        <v>100</v>
      </c>
      <c r="B126" t="s">
        <v>125</v>
      </c>
      <c r="C126">
        <v>190</v>
      </c>
    </row>
    <row r="127" spans="1:3" ht="15.95">
      <c r="A127" s="2" t="s">
        <v>100</v>
      </c>
      <c r="B127" t="s">
        <v>125</v>
      </c>
      <c r="C127">
        <v>200</v>
      </c>
    </row>
    <row r="128" spans="1:3" ht="15.95">
      <c r="A128" s="2" t="s">
        <v>100</v>
      </c>
      <c r="B128" t="s">
        <v>125</v>
      </c>
      <c r="C128">
        <v>250</v>
      </c>
    </row>
    <row r="130" spans="1:3" ht="15.95">
      <c r="A130" s="3" t="s">
        <v>100</v>
      </c>
      <c r="B130" s="1" t="s">
        <v>126</v>
      </c>
      <c r="C130">
        <v>60</v>
      </c>
    </row>
    <row r="131" spans="1:3" ht="15.95">
      <c r="A131" s="3" t="s">
        <v>100</v>
      </c>
      <c r="B131" s="1" t="s">
        <v>126</v>
      </c>
      <c r="C131">
        <v>160</v>
      </c>
    </row>
    <row r="132" spans="1:3" ht="15.95">
      <c r="A132" s="3" t="s">
        <v>100</v>
      </c>
      <c r="B132" s="1" t="s">
        <v>126</v>
      </c>
      <c r="C132">
        <v>180</v>
      </c>
    </row>
    <row r="133" spans="1:3" ht="15.95">
      <c r="A133" s="3" t="s">
        <v>100</v>
      </c>
      <c r="B133" s="1" t="s">
        <v>126</v>
      </c>
      <c r="C133">
        <v>210</v>
      </c>
    </row>
    <row r="134" spans="1:3" ht="15.95">
      <c r="A134" s="3" t="s">
        <v>100</v>
      </c>
      <c r="B134" s="1" t="s">
        <v>126</v>
      </c>
      <c r="C134">
        <v>250</v>
      </c>
    </row>
    <row r="135" spans="1:3" ht="15.95">
      <c r="A135" s="3" t="s">
        <v>100</v>
      </c>
      <c r="B135" s="1" t="s">
        <v>126</v>
      </c>
      <c r="C135">
        <v>270</v>
      </c>
    </row>
    <row r="136" spans="1:3" ht="15.95">
      <c r="A136" s="3" t="s">
        <v>100</v>
      </c>
      <c r="B136" s="1" t="s">
        <v>126</v>
      </c>
      <c r="C136">
        <v>280</v>
      </c>
    </row>
    <row r="137" spans="1:3" ht="15.95">
      <c r="A137" s="3" t="s">
        <v>100</v>
      </c>
      <c r="B137" s="1" t="s">
        <v>126</v>
      </c>
      <c r="C137">
        <v>310</v>
      </c>
    </row>
    <row r="138" spans="1:3" ht="15.95">
      <c r="A138" s="3" t="s">
        <v>100</v>
      </c>
      <c r="B138" s="1" t="s">
        <v>126</v>
      </c>
      <c r="C138">
        <v>320</v>
      </c>
    </row>
    <row r="139" spans="1:3" ht="15.95">
      <c r="A139" s="3" t="s">
        <v>100</v>
      </c>
      <c r="B139" s="1" t="s">
        <v>126</v>
      </c>
      <c r="C139">
        <v>330</v>
      </c>
    </row>
    <row r="140" spans="1:3" ht="15.95">
      <c r="A140" s="3" t="s">
        <v>100</v>
      </c>
      <c r="B140" s="1" t="s">
        <v>126</v>
      </c>
      <c r="C140">
        <v>340</v>
      </c>
    </row>
    <row r="141" spans="1:3" ht="15.95">
      <c r="A141" s="3" t="s">
        <v>100</v>
      </c>
      <c r="B141" s="1" t="s">
        <v>126</v>
      </c>
      <c r="C141">
        <v>380</v>
      </c>
    </row>
    <row r="142" spans="1:3" ht="15.95">
      <c r="A142" s="3" t="s">
        <v>100</v>
      </c>
      <c r="B142" s="1" t="s">
        <v>126</v>
      </c>
      <c r="C142">
        <v>400</v>
      </c>
    </row>
    <row r="143" spans="1:3" ht="15.95">
      <c r="A143" s="3" t="s">
        <v>100</v>
      </c>
      <c r="B143" s="1" t="s">
        <v>126</v>
      </c>
      <c r="C143">
        <v>410</v>
      </c>
    </row>
    <row r="144" spans="1:3" ht="15.95">
      <c r="A144" s="3" t="s">
        <v>100</v>
      </c>
      <c r="B144" s="1" t="s">
        <v>126</v>
      </c>
      <c r="C144">
        <v>440</v>
      </c>
    </row>
    <row r="145" spans="1:3" ht="15.95">
      <c r="A145" s="3" t="s">
        <v>100</v>
      </c>
      <c r="B145" s="1" t="s">
        <v>126</v>
      </c>
      <c r="C145">
        <v>450</v>
      </c>
    </row>
    <row r="146" spans="1:3" ht="15.95">
      <c r="A146" s="3" t="s">
        <v>100</v>
      </c>
      <c r="B146" s="1" t="s">
        <v>126</v>
      </c>
      <c r="C146">
        <v>460</v>
      </c>
    </row>
    <row r="147" spans="1:3" ht="15.95">
      <c r="A147" s="3" t="s">
        <v>100</v>
      </c>
      <c r="B147" s="1" t="s">
        <v>126</v>
      </c>
      <c r="C147">
        <v>530</v>
      </c>
    </row>
    <row r="148" spans="1:3" ht="15.95">
      <c r="A148" s="3" t="s">
        <v>100</v>
      </c>
      <c r="B148" s="1" t="s">
        <v>126</v>
      </c>
      <c r="C148">
        <v>540</v>
      </c>
    </row>
    <row r="149" spans="1:3" ht="15.95">
      <c r="A149" s="3" t="s">
        <v>100</v>
      </c>
      <c r="B149" s="1" t="s">
        <v>126</v>
      </c>
      <c r="C149">
        <v>550</v>
      </c>
    </row>
    <row r="150" spans="1:3" ht="15.95">
      <c r="A150" s="3" t="s">
        <v>100</v>
      </c>
      <c r="B150" s="1" t="s">
        <v>126</v>
      </c>
      <c r="C150">
        <v>600</v>
      </c>
    </row>
    <row r="151" spans="1:3" ht="15.95">
      <c r="A151" s="3" t="s">
        <v>100</v>
      </c>
      <c r="B151" s="1" t="s">
        <v>126</v>
      </c>
      <c r="C151">
        <v>610</v>
      </c>
    </row>
    <row r="152" spans="1:3" ht="15.95">
      <c r="A152" s="3" t="s">
        <v>100</v>
      </c>
      <c r="B152" s="1" t="s">
        <v>126</v>
      </c>
      <c r="C152">
        <v>620</v>
      </c>
    </row>
    <row r="153" spans="1:3" ht="15.95">
      <c r="A153" s="3" t="s">
        <v>100</v>
      </c>
      <c r="B153" s="1" t="s">
        <v>126</v>
      </c>
      <c r="C153">
        <v>670</v>
      </c>
    </row>
    <row r="154" spans="1:3" ht="15.95">
      <c r="A154" s="3" t="s">
        <v>100</v>
      </c>
      <c r="B154" s="1" t="s">
        <v>126</v>
      </c>
      <c r="C154">
        <v>710</v>
      </c>
    </row>
    <row r="155" spans="1:3" ht="15.95">
      <c r="A155" s="3" t="s">
        <v>100</v>
      </c>
      <c r="B155" s="1" t="s">
        <v>126</v>
      </c>
      <c r="C155">
        <v>720</v>
      </c>
    </row>
    <row r="156" spans="1:3" ht="15.95">
      <c r="A156" s="3" t="s">
        <v>100</v>
      </c>
      <c r="B156" s="1" t="s">
        <v>126</v>
      </c>
      <c r="C156">
        <v>780</v>
      </c>
    </row>
    <row r="157" spans="1:3" ht="15.95">
      <c r="A157" s="3" t="s">
        <v>100</v>
      </c>
      <c r="B157" s="1" t="s">
        <v>126</v>
      </c>
      <c r="C157">
        <v>820</v>
      </c>
    </row>
    <row r="158" spans="1:3" ht="15.95">
      <c r="A158" s="3" t="s">
        <v>100</v>
      </c>
      <c r="B158" s="1" t="s">
        <v>126</v>
      </c>
      <c r="C158">
        <v>840</v>
      </c>
    </row>
    <row r="159" spans="1:3" ht="15.95">
      <c r="A159" s="3" t="s">
        <v>100</v>
      </c>
      <c r="B159" s="1" t="s">
        <v>126</v>
      </c>
      <c r="C159">
        <v>920</v>
      </c>
    </row>
    <row r="160" spans="1:3" ht="15.95">
      <c r="A160" s="3" t="s">
        <v>100</v>
      </c>
      <c r="B160" s="1" t="s">
        <v>126</v>
      </c>
      <c r="C160">
        <v>930</v>
      </c>
    </row>
    <row r="161" spans="1:3" ht="15.95">
      <c r="A161" s="3" t="s">
        <v>100</v>
      </c>
      <c r="B161" s="1" t="s">
        <v>126</v>
      </c>
      <c r="C161">
        <v>940</v>
      </c>
    </row>
    <row r="162" spans="1:3" ht="15.95">
      <c r="A162" s="3" t="s">
        <v>100</v>
      </c>
      <c r="B162" s="1" t="s">
        <v>126</v>
      </c>
      <c r="C162">
        <v>950</v>
      </c>
    </row>
    <row r="163" spans="1:3" ht="15.95">
      <c r="A163" s="3" t="s">
        <v>100</v>
      </c>
      <c r="B163" s="1" t="s">
        <v>126</v>
      </c>
      <c r="C163">
        <v>980</v>
      </c>
    </row>
    <row r="164" spans="1:3" ht="15.95">
      <c r="A164" s="3" t="s">
        <v>100</v>
      </c>
      <c r="B164" s="1" t="s">
        <v>126</v>
      </c>
      <c r="C164">
        <v>990</v>
      </c>
    </row>
    <row r="165" spans="1:3" ht="15.95">
      <c r="A165" s="3" t="s">
        <v>100</v>
      </c>
      <c r="B165" s="1" t="s">
        <v>126</v>
      </c>
      <c r="C165">
        <v>1000</v>
      </c>
    </row>
    <row r="166" spans="1:3" ht="15.95">
      <c r="A166" s="3" t="s">
        <v>100</v>
      </c>
      <c r="B166" s="1" t="s">
        <v>126</v>
      </c>
      <c r="C166">
        <v>1010</v>
      </c>
    </row>
    <row r="167" spans="1:3" ht="15.95">
      <c r="A167" s="3" t="s">
        <v>100</v>
      </c>
      <c r="B167" s="1" t="s">
        <v>126</v>
      </c>
      <c r="C167">
        <v>1030</v>
      </c>
    </row>
    <row r="168" spans="1:3" ht="15.95">
      <c r="A168" s="3" t="s">
        <v>100</v>
      </c>
      <c r="B168" s="1" t="s">
        <v>126</v>
      </c>
      <c r="C168">
        <v>1050</v>
      </c>
    </row>
    <row r="169" spans="1:3" ht="15.95">
      <c r="A169" s="3" t="s">
        <v>100</v>
      </c>
      <c r="B169" s="1" t="s">
        <v>126</v>
      </c>
      <c r="C169">
        <v>1060</v>
      </c>
    </row>
    <row r="170" spans="1:3" ht="15.95">
      <c r="A170" s="3" t="s">
        <v>100</v>
      </c>
      <c r="B170" s="1" t="s">
        <v>126</v>
      </c>
      <c r="C170">
        <v>1080</v>
      </c>
    </row>
    <row r="171" spans="1:3" ht="15.95">
      <c r="A171" s="3" t="s">
        <v>100</v>
      </c>
      <c r="B171" s="1" t="s">
        <v>126</v>
      </c>
      <c r="C171">
        <v>1100</v>
      </c>
    </row>
    <row r="172" spans="1:3" ht="15.95">
      <c r="A172" s="3" t="s">
        <v>100</v>
      </c>
      <c r="B172" s="1" t="s">
        <v>126</v>
      </c>
      <c r="C172">
        <v>1120</v>
      </c>
    </row>
    <row r="173" spans="1:3" ht="15.95">
      <c r="A173" s="3" t="s">
        <v>100</v>
      </c>
      <c r="B173" s="1" t="s">
        <v>126</v>
      </c>
      <c r="C173">
        <v>1140</v>
      </c>
    </row>
    <row r="174" spans="1:3" ht="15.95">
      <c r="A174" s="3" t="s">
        <v>100</v>
      </c>
      <c r="B174" s="1" t="s">
        <v>126</v>
      </c>
      <c r="C174">
        <v>1150</v>
      </c>
    </row>
    <row r="175" spans="1:3" ht="15.95">
      <c r="A175" s="3" t="s">
        <v>100</v>
      </c>
      <c r="B175" s="1" t="s">
        <v>126</v>
      </c>
      <c r="C175">
        <v>1160</v>
      </c>
    </row>
    <row r="176" spans="1:3" ht="15.95">
      <c r="A176" s="3" t="s">
        <v>100</v>
      </c>
      <c r="B176" s="1" t="s">
        <v>126</v>
      </c>
      <c r="C176">
        <v>1170</v>
      </c>
    </row>
    <row r="177" spans="1:3" ht="15.95">
      <c r="A177" s="3" t="s">
        <v>100</v>
      </c>
      <c r="B177" s="1" t="s">
        <v>126</v>
      </c>
      <c r="C177">
        <v>1180</v>
      </c>
    </row>
    <row r="178" spans="1:3" ht="15.95">
      <c r="A178" s="3" t="s">
        <v>100</v>
      </c>
      <c r="B178" s="1" t="s">
        <v>126</v>
      </c>
      <c r="C178">
        <v>1190</v>
      </c>
    </row>
    <row r="179" spans="1:3" ht="15.95">
      <c r="A179" s="3" t="s">
        <v>100</v>
      </c>
      <c r="B179" s="1" t="s">
        <v>126</v>
      </c>
      <c r="C179">
        <v>1210</v>
      </c>
    </row>
    <row r="180" spans="1:3" ht="15.95">
      <c r="A180" s="3" t="s">
        <v>100</v>
      </c>
      <c r="B180" s="1" t="s">
        <v>126</v>
      </c>
      <c r="C180">
        <v>1220</v>
      </c>
    </row>
    <row r="181" spans="1:3" ht="15.95">
      <c r="A181" s="3" t="s">
        <v>100</v>
      </c>
      <c r="B181" s="1" t="s">
        <v>126</v>
      </c>
      <c r="C181">
        <v>1230</v>
      </c>
    </row>
    <row r="182" spans="1:3" ht="15.95">
      <c r="A182" s="3" t="s">
        <v>100</v>
      </c>
      <c r="B182" s="1" t="s">
        <v>126</v>
      </c>
      <c r="C182">
        <v>1290</v>
      </c>
    </row>
    <row r="183" spans="1:3" ht="15.95">
      <c r="A183" s="3" t="s">
        <v>100</v>
      </c>
      <c r="B183" s="1" t="s">
        <v>126</v>
      </c>
      <c r="C183">
        <v>1320</v>
      </c>
    </row>
    <row r="184" spans="1:3" ht="15.95">
      <c r="A184" s="3" t="s">
        <v>100</v>
      </c>
      <c r="B184" s="1" t="s">
        <v>126</v>
      </c>
      <c r="C184">
        <v>1330</v>
      </c>
    </row>
    <row r="185" spans="1:3" ht="15.95">
      <c r="A185" s="3" t="s">
        <v>100</v>
      </c>
      <c r="B185" s="1" t="s">
        <v>126</v>
      </c>
      <c r="C185">
        <v>1390</v>
      </c>
    </row>
    <row r="186" spans="1:3" ht="15.95">
      <c r="A186" s="3" t="s">
        <v>100</v>
      </c>
      <c r="B186" s="1" t="s">
        <v>126</v>
      </c>
      <c r="C186">
        <v>1420</v>
      </c>
    </row>
    <row r="187" spans="1:3" ht="15.95">
      <c r="A187" s="3" t="s">
        <v>100</v>
      </c>
      <c r="B187" s="1" t="s">
        <v>126</v>
      </c>
      <c r="C187">
        <v>1470</v>
      </c>
    </row>
    <row r="188" spans="1:3" ht="15.95">
      <c r="A188" s="3" t="s">
        <v>100</v>
      </c>
      <c r="B188" s="1" t="s">
        <v>126</v>
      </c>
      <c r="C188">
        <v>1480</v>
      </c>
    </row>
    <row r="189" spans="1:3" ht="15.95">
      <c r="A189" s="3" t="s">
        <v>100</v>
      </c>
      <c r="B189" s="1" t="s">
        <v>126</v>
      </c>
      <c r="C189">
        <v>1500</v>
      </c>
    </row>
    <row r="190" spans="1:3" ht="15.95">
      <c r="A190" s="3" t="s">
        <v>100</v>
      </c>
      <c r="B190" s="1" t="s">
        <v>126</v>
      </c>
      <c r="C190">
        <v>1540</v>
      </c>
    </row>
    <row r="191" spans="1:3" ht="15.95">
      <c r="A191" s="3" t="s">
        <v>100</v>
      </c>
      <c r="B191" s="1" t="s">
        <v>126</v>
      </c>
      <c r="C191">
        <v>1580</v>
      </c>
    </row>
    <row r="192" spans="1:3" ht="15.95">
      <c r="A192" s="3" t="s">
        <v>100</v>
      </c>
      <c r="B192" s="1" t="s">
        <v>126</v>
      </c>
      <c r="C192">
        <v>1590</v>
      </c>
    </row>
    <row r="193" spans="1:3" ht="15.95">
      <c r="A193" s="3" t="s">
        <v>100</v>
      </c>
      <c r="B193" s="1" t="s">
        <v>126</v>
      </c>
      <c r="C193">
        <v>1600</v>
      </c>
    </row>
    <row r="194" spans="1:3" ht="15.95">
      <c r="A194" s="3" t="s">
        <v>100</v>
      </c>
      <c r="B194" s="1" t="s">
        <v>126</v>
      </c>
      <c r="C194">
        <v>1610</v>
      </c>
    </row>
    <row r="195" spans="1:3" ht="15.95">
      <c r="A195" s="3" t="s">
        <v>100</v>
      </c>
      <c r="B195" s="1" t="s">
        <v>126</v>
      </c>
      <c r="C195">
        <v>1620</v>
      </c>
    </row>
    <row r="196" spans="1:3" ht="15.95">
      <c r="A196" s="3" t="s">
        <v>100</v>
      </c>
      <c r="B196" s="1" t="s">
        <v>126</v>
      </c>
      <c r="C196">
        <v>1640</v>
      </c>
    </row>
    <row r="197" spans="1:3" ht="15.95">
      <c r="A197" s="3" t="s">
        <v>100</v>
      </c>
      <c r="B197" s="1" t="s">
        <v>126</v>
      </c>
      <c r="C197">
        <v>1650</v>
      </c>
    </row>
    <row r="198" spans="1:3" ht="15.95">
      <c r="A198" s="3" t="s">
        <v>100</v>
      </c>
      <c r="B198" s="1" t="s">
        <v>126</v>
      </c>
      <c r="C198">
        <v>1660</v>
      </c>
    </row>
    <row r="199" spans="1:3" ht="15.95">
      <c r="A199" s="3" t="s">
        <v>100</v>
      </c>
      <c r="B199" s="1" t="s">
        <v>126</v>
      </c>
      <c r="C199">
        <v>1670</v>
      </c>
    </row>
    <row r="200" spans="1:3" ht="15.95">
      <c r="A200" s="3" t="s">
        <v>100</v>
      </c>
      <c r="B200" s="1" t="s">
        <v>126</v>
      </c>
      <c r="C200">
        <v>1690</v>
      </c>
    </row>
    <row r="201" spans="1:3" ht="15.95">
      <c r="A201" s="3" t="s">
        <v>100</v>
      </c>
      <c r="B201" s="1" t="s">
        <v>126</v>
      </c>
      <c r="C201">
        <v>1700</v>
      </c>
    </row>
    <row r="202" spans="1:3" ht="15.95">
      <c r="A202" s="3" t="s">
        <v>100</v>
      </c>
      <c r="B202" s="1" t="s">
        <v>126</v>
      </c>
      <c r="C202">
        <v>1750</v>
      </c>
    </row>
    <row r="203" spans="1:3" ht="15.95">
      <c r="A203" s="3" t="s">
        <v>100</v>
      </c>
      <c r="B203" s="1" t="s">
        <v>126</v>
      </c>
      <c r="C203">
        <v>1760</v>
      </c>
    </row>
    <row r="204" spans="1:3" ht="15.95">
      <c r="A204" s="3" t="s">
        <v>100</v>
      </c>
      <c r="B204" s="1" t="s">
        <v>126</v>
      </c>
      <c r="C204">
        <v>1770</v>
      </c>
    </row>
    <row r="205" spans="1:3" ht="15.95">
      <c r="A205" s="3" t="s">
        <v>100</v>
      </c>
      <c r="B205" s="1" t="s">
        <v>126</v>
      </c>
      <c r="C205">
        <v>1780</v>
      </c>
    </row>
    <row r="206" spans="1:3" ht="15.95">
      <c r="A206" s="3" t="s">
        <v>100</v>
      </c>
      <c r="B206" s="1" t="s">
        <v>126</v>
      </c>
      <c r="C206">
        <v>1790</v>
      </c>
    </row>
    <row r="207" spans="1:3" ht="15.95">
      <c r="A207" s="3" t="s">
        <v>100</v>
      </c>
      <c r="B207" s="1" t="s">
        <v>126</v>
      </c>
      <c r="C207">
        <v>1800</v>
      </c>
    </row>
    <row r="208" spans="1:3" ht="15.95">
      <c r="A208" s="3" t="s">
        <v>100</v>
      </c>
      <c r="B208" s="1" t="s">
        <v>126</v>
      </c>
      <c r="C208">
        <v>1810</v>
      </c>
    </row>
    <row r="209" spans="1:3" ht="15.95">
      <c r="A209" s="3" t="s">
        <v>100</v>
      </c>
      <c r="B209" s="1" t="s">
        <v>126</v>
      </c>
      <c r="C209">
        <v>1820</v>
      </c>
    </row>
    <row r="210" spans="1:3" ht="15.95">
      <c r="A210" s="3" t="s">
        <v>100</v>
      </c>
      <c r="B210" s="1" t="s">
        <v>126</v>
      </c>
      <c r="C210">
        <v>1830</v>
      </c>
    </row>
    <row r="211" spans="1:3" ht="15.95">
      <c r="A211" s="3" t="s">
        <v>100</v>
      </c>
      <c r="B211" s="1" t="s">
        <v>126</v>
      </c>
      <c r="C211">
        <v>1840</v>
      </c>
    </row>
    <row r="212" spans="1:3" ht="15.95">
      <c r="A212" s="3" t="s">
        <v>100</v>
      </c>
      <c r="B212" s="1" t="s">
        <v>126</v>
      </c>
      <c r="C212">
        <v>1850</v>
      </c>
    </row>
    <row r="213" spans="1:3" ht="15.95">
      <c r="A213" s="3" t="s">
        <v>100</v>
      </c>
      <c r="B213" s="1" t="s">
        <v>126</v>
      </c>
      <c r="C213">
        <v>1860</v>
      </c>
    </row>
    <row r="214" spans="1:3" ht="15.95">
      <c r="A214" s="3" t="s">
        <v>100</v>
      </c>
      <c r="B214" s="1" t="s">
        <v>126</v>
      </c>
      <c r="C214">
        <v>1870</v>
      </c>
    </row>
    <row r="215" spans="1:3" ht="15.95">
      <c r="A215" s="3" t="s">
        <v>100</v>
      </c>
      <c r="B215" s="1" t="s">
        <v>126</v>
      </c>
      <c r="C215">
        <v>1880</v>
      </c>
    </row>
    <row r="216" spans="1:3" ht="15.95">
      <c r="A216" s="3" t="s">
        <v>100</v>
      </c>
      <c r="B216" s="1" t="s">
        <v>126</v>
      </c>
      <c r="C216">
        <v>1890</v>
      </c>
    </row>
    <row r="217" spans="1:3" ht="15.95">
      <c r="A217" s="3" t="s">
        <v>100</v>
      </c>
      <c r="B217" s="1" t="s">
        <v>126</v>
      </c>
      <c r="C217">
        <v>1900</v>
      </c>
    </row>
    <row r="218" spans="1:3" ht="15.95">
      <c r="A218" s="3" t="s">
        <v>100</v>
      </c>
      <c r="B218" s="1" t="s">
        <v>126</v>
      </c>
      <c r="C218">
        <v>1930</v>
      </c>
    </row>
    <row r="219" spans="1:3" ht="15.95">
      <c r="A219" s="3" t="s">
        <v>100</v>
      </c>
      <c r="B219" s="1" t="s">
        <v>126</v>
      </c>
      <c r="C219">
        <v>2010</v>
      </c>
    </row>
    <row r="220" spans="1:3" ht="15.95">
      <c r="A220" s="3" t="s">
        <v>100</v>
      </c>
      <c r="B220" s="1" t="s">
        <v>126</v>
      </c>
      <c r="C220">
        <v>2020</v>
      </c>
    </row>
    <row r="221" spans="1:3" ht="15.95">
      <c r="A221" s="3" t="s">
        <v>100</v>
      </c>
      <c r="B221" s="1" t="s">
        <v>126</v>
      </c>
      <c r="C221">
        <v>2030</v>
      </c>
    </row>
    <row r="222" spans="1:3" ht="15.95">
      <c r="A222" s="3" t="s">
        <v>100</v>
      </c>
      <c r="B222" s="1" t="s">
        <v>126</v>
      </c>
      <c r="C222">
        <v>2060</v>
      </c>
    </row>
    <row r="223" spans="1:3" ht="15.95">
      <c r="A223" s="3" t="s">
        <v>100</v>
      </c>
      <c r="B223" s="1" t="s">
        <v>126</v>
      </c>
      <c r="C223">
        <v>2090</v>
      </c>
    </row>
    <row r="224" spans="1:3" ht="15.95">
      <c r="A224" s="3" t="s">
        <v>100</v>
      </c>
      <c r="B224" s="1" t="s">
        <v>126</v>
      </c>
      <c r="C224">
        <v>2110</v>
      </c>
    </row>
    <row r="225" spans="1:3" ht="15.95">
      <c r="A225" s="3" t="s">
        <v>100</v>
      </c>
      <c r="B225" s="1" t="s">
        <v>126</v>
      </c>
      <c r="C225">
        <v>2200</v>
      </c>
    </row>
    <row r="226" spans="1:3" ht="15.95">
      <c r="A226" s="3" t="s">
        <v>100</v>
      </c>
      <c r="B226" s="1" t="s">
        <v>126</v>
      </c>
      <c r="C226">
        <v>2240</v>
      </c>
    </row>
    <row r="227" spans="1:3" ht="15.95">
      <c r="A227" s="3" t="s">
        <v>100</v>
      </c>
      <c r="B227" s="1" t="s">
        <v>126</v>
      </c>
      <c r="C227">
        <v>2250</v>
      </c>
    </row>
    <row r="228" spans="1:3" ht="15.95">
      <c r="A228" s="3" t="s">
        <v>100</v>
      </c>
      <c r="B228" s="1" t="s">
        <v>126</v>
      </c>
      <c r="C228">
        <v>2260</v>
      </c>
    </row>
    <row r="229" spans="1:3" ht="15.95">
      <c r="A229" s="3" t="s">
        <v>100</v>
      </c>
      <c r="B229" s="1" t="s">
        <v>126</v>
      </c>
      <c r="C229">
        <v>2270</v>
      </c>
    </row>
    <row r="230" spans="1:3" ht="15.95">
      <c r="A230" s="3" t="s">
        <v>100</v>
      </c>
      <c r="B230" s="1" t="s">
        <v>126</v>
      </c>
      <c r="C230">
        <v>2280</v>
      </c>
    </row>
    <row r="231" spans="1:3" ht="15.95">
      <c r="A231" s="3" t="s">
        <v>100</v>
      </c>
      <c r="B231" s="1" t="s">
        <v>126</v>
      </c>
      <c r="C231">
        <v>2290</v>
      </c>
    </row>
    <row r="232" spans="1:3" ht="15.95">
      <c r="A232" s="3" t="s">
        <v>100</v>
      </c>
      <c r="B232" s="1" t="s">
        <v>126</v>
      </c>
      <c r="C232">
        <v>2300</v>
      </c>
    </row>
    <row r="233" spans="1:3" ht="15.95">
      <c r="A233" s="3" t="s">
        <v>100</v>
      </c>
      <c r="B233" s="1" t="s">
        <v>126</v>
      </c>
      <c r="C233">
        <v>2320</v>
      </c>
    </row>
    <row r="234" spans="1:3" ht="15.95">
      <c r="A234" s="3" t="s">
        <v>100</v>
      </c>
      <c r="B234" s="1" t="s">
        <v>126</v>
      </c>
      <c r="C234">
        <v>2330</v>
      </c>
    </row>
    <row r="235" spans="1:3" ht="15.95">
      <c r="A235" s="3" t="s">
        <v>100</v>
      </c>
      <c r="B235" s="1" t="s">
        <v>126</v>
      </c>
      <c r="C235">
        <v>2340</v>
      </c>
    </row>
    <row r="236" spans="1:3" ht="15.95">
      <c r="A236" s="3" t="s">
        <v>100</v>
      </c>
      <c r="B236" s="1" t="s">
        <v>126</v>
      </c>
      <c r="C236">
        <v>2360</v>
      </c>
    </row>
    <row r="237" spans="1:3" ht="15.95">
      <c r="A237" s="3" t="s">
        <v>100</v>
      </c>
      <c r="B237" s="1" t="s">
        <v>126</v>
      </c>
      <c r="C237">
        <v>2380</v>
      </c>
    </row>
    <row r="238" spans="1:3" ht="15.95">
      <c r="A238" s="3" t="s">
        <v>100</v>
      </c>
      <c r="B238" s="1" t="s">
        <v>126</v>
      </c>
      <c r="C238">
        <v>2390</v>
      </c>
    </row>
    <row r="239" spans="1:3" ht="15.95">
      <c r="A239" s="3" t="s">
        <v>100</v>
      </c>
      <c r="B239" s="1" t="s">
        <v>126</v>
      </c>
      <c r="C239">
        <v>2410</v>
      </c>
    </row>
    <row r="240" spans="1:3" ht="15.95">
      <c r="A240" s="3" t="s">
        <v>100</v>
      </c>
      <c r="B240" s="1" t="s">
        <v>126</v>
      </c>
      <c r="C240">
        <v>2420</v>
      </c>
    </row>
    <row r="241" spans="1:3" ht="15.95">
      <c r="A241" s="3" t="s">
        <v>100</v>
      </c>
      <c r="B241" s="1" t="s">
        <v>126</v>
      </c>
      <c r="C241">
        <v>2440</v>
      </c>
    </row>
    <row r="242" spans="1:3" ht="15.95">
      <c r="A242" s="3" t="s">
        <v>100</v>
      </c>
      <c r="B242" s="1" t="s">
        <v>126</v>
      </c>
      <c r="C242">
        <v>2470</v>
      </c>
    </row>
    <row r="243" spans="1:3" ht="15.95">
      <c r="A243" s="3" t="s">
        <v>100</v>
      </c>
      <c r="B243" s="1" t="s">
        <v>126</v>
      </c>
      <c r="C243">
        <v>2520</v>
      </c>
    </row>
    <row r="244" spans="1:3" ht="15.95">
      <c r="A244" s="3" t="s">
        <v>100</v>
      </c>
      <c r="B244" s="1" t="s">
        <v>126</v>
      </c>
      <c r="C244">
        <v>2550</v>
      </c>
    </row>
    <row r="245" spans="1:3" ht="15.95">
      <c r="A245" s="3" t="s">
        <v>100</v>
      </c>
      <c r="B245" s="1" t="s">
        <v>126</v>
      </c>
      <c r="C245">
        <v>2580</v>
      </c>
    </row>
    <row r="246" spans="1:3" ht="15.95">
      <c r="A246" s="3" t="s">
        <v>100</v>
      </c>
      <c r="B246" s="1" t="s">
        <v>126</v>
      </c>
      <c r="C246">
        <v>2590</v>
      </c>
    </row>
    <row r="247" spans="1:3" ht="15.95">
      <c r="A247" s="3" t="s">
        <v>100</v>
      </c>
      <c r="B247" s="1" t="s">
        <v>126</v>
      </c>
      <c r="C247">
        <v>2600</v>
      </c>
    </row>
    <row r="248" spans="1:3" ht="15.95">
      <c r="A248" s="3" t="s">
        <v>100</v>
      </c>
      <c r="B248" s="1" t="s">
        <v>126</v>
      </c>
      <c r="C248">
        <v>2610</v>
      </c>
    </row>
    <row r="249" spans="1:3" ht="15.95">
      <c r="A249" s="3" t="s">
        <v>100</v>
      </c>
      <c r="B249" s="1" t="s">
        <v>126</v>
      </c>
      <c r="C249">
        <v>2620</v>
      </c>
    </row>
    <row r="250" spans="1:3" ht="15.95">
      <c r="A250" s="3" t="s">
        <v>100</v>
      </c>
      <c r="B250" s="1" t="s">
        <v>126</v>
      </c>
      <c r="C250">
        <v>2630</v>
      </c>
    </row>
    <row r="251" spans="1:3" ht="15.95">
      <c r="A251" s="3" t="s">
        <v>100</v>
      </c>
      <c r="B251" s="1" t="s">
        <v>126</v>
      </c>
      <c r="C251">
        <v>2640</v>
      </c>
    </row>
    <row r="252" spans="1:3" ht="15.95">
      <c r="A252" s="3" t="s">
        <v>100</v>
      </c>
      <c r="B252" s="1" t="s">
        <v>126</v>
      </c>
      <c r="C252">
        <v>2650</v>
      </c>
    </row>
    <row r="253" spans="1:3" ht="15.95">
      <c r="A253" s="3" t="s">
        <v>100</v>
      </c>
      <c r="B253" s="1" t="s">
        <v>126</v>
      </c>
      <c r="C253">
        <v>2660</v>
      </c>
    </row>
    <row r="254" spans="1:3" ht="15.95">
      <c r="A254" s="3" t="s">
        <v>100</v>
      </c>
      <c r="B254" s="1" t="s">
        <v>126</v>
      </c>
      <c r="C254">
        <v>2680</v>
      </c>
    </row>
    <row r="255" spans="1:3" ht="15.95">
      <c r="A255" s="3" t="s">
        <v>100</v>
      </c>
      <c r="B255" s="1" t="s">
        <v>126</v>
      </c>
      <c r="C255">
        <v>2700</v>
      </c>
    </row>
    <row r="256" spans="1:3" ht="15.95">
      <c r="A256" s="3" t="s">
        <v>100</v>
      </c>
      <c r="B256" s="1" t="s">
        <v>126</v>
      </c>
      <c r="C256">
        <v>2730</v>
      </c>
    </row>
    <row r="257" spans="1:3" ht="15.95">
      <c r="A257" s="3" t="s">
        <v>100</v>
      </c>
      <c r="B257" s="1" t="s">
        <v>126</v>
      </c>
      <c r="C257">
        <v>2770</v>
      </c>
    </row>
    <row r="258" spans="1:3" ht="15.95">
      <c r="A258" s="3" t="s">
        <v>100</v>
      </c>
      <c r="B258" s="1" t="s">
        <v>126</v>
      </c>
      <c r="C258">
        <v>2790</v>
      </c>
    </row>
    <row r="259" spans="1:3" ht="15.95">
      <c r="A259" s="3" t="s">
        <v>100</v>
      </c>
      <c r="B259" s="1" t="s">
        <v>126</v>
      </c>
      <c r="C259">
        <v>2820</v>
      </c>
    </row>
    <row r="260" spans="1:3" ht="15.95">
      <c r="A260" s="3" t="s">
        <v>100</v>
      </c>
      <c r="B260" s="1" t="s">
        <v>126</v>
      </c>
      <c r="C260">
        <v>2840</v>
      </c>
    </row>
    <row r="261" spans="1:3" ht="15.95">
      <c r="A261" s="3" t="s">
        <v>100</v>
      </c>
      <c r="B261" s="1" t="s">
        <v>126</v>
      </c>
      <c r="C261">
        <v>2850</v>
      </c>
    </row>
    <row r="262" spans="1:3" ht="15.95">
      <c r="A262" s="3" t="s">
        <v>100</v>
      </c>
      <c r="B262" s="1" t="s">
        <v>126</v>
      </c>
      <c r="C262">
        <v>2860</v>
      </c>
    </row>
    <row r="263" spans="1:3" ht="15.95">
      <c r="A263" s="3" t="s">
        <v>100</v>
      </c>
      <c r="B263" s="1" t="s">
        <v>126</v>
      </c>
      <c r="C263">
        <v>2910</v>
      </c>
    </row>
    <row r="264" spans="1:3" ht="15.95">
      <c r="A264" s="3" t="s">
        <v>100</v>
      </c>
      <c r="B264" s="1" t="s">
        <v>126</v>
      </c>
      <c r="C264">
        <v>2970</v>
      </c>
    </row>
    <row r="265" spans="1:3" ht="15.95">
      <c r="A265" s="3" t="s">
        <v>100</v>
      </c>
      <c r="B265" s="1" t="s">
        <v>126</v>
      </c>
      <c r="C265">
        <v>2980</v>
      </c>
    </row>
    <row r="266" spans="1:3" ht="15.95">
      <c r="A266" s="3" t="s">
        <v>100</v>
      </c>
      <c r="B266" s="1" t="s">
        <v>126</v>
      </c>
      <c r="C266">
        <v>3060</v>
      </c>
    </row>
    <row r="267" spans="1:3" ht="15.95">
      <c r="A267" s="3" t="s">
        <v>100</v>
      </c>
      <c r="B267" s="1" t="s">
        <v>126</v>
      </c>
      <c r="C267">
        <v>3090</v>
      </c>
    </row>
    <row r="268" spans="1:3" ht="15.95">
      <c r="A268" s="3" t="s">
        <v>100</v>
      </c>
      <c r="B268" s="1" t="s">
        <v>126</v>
      </c>
      <c r="C268">
        <v>3100</v>
      </c>
    </row>
    <row r="269" spans="1:3" ht="15.95">
      <c r="A269" s="3" t="s">
        <v>100</v>
      </c>
      <c r="B269" s="1" t="s">
        <v>126</v>
      </c>
      <c r="C269">
        <v>3130</v>
      </c>
    </row>
    <row r="270" spans="1:3" ht="15.95">
      <c r="A270" s="3" t="s">
        <v>100</v>
      </c>
      <c r="B270" s="1" t="s">
        <v>126</v>
      </c>
      <c r="C270">
        <v>3140</v>
      </c>
    </row>
    <row r="271" spans="1:3" ht="15.95">
      <c r="A271" s="3" t="s">
        <v>100</v>
      </c>
      <c r="B271" s="1" t="s">
        <v>126</v>
      </c>
      <c r="C271">
        <v>3150</v>
      </c>
    </row>
    <row r="272" spans="1:3" ht="15.95">
      <c r="A272" s="3" t="s">
        <v>100</v>
      </c>
      <c r="B272" s="1" t="s">
        <v>126</v>
      </c>
      <c r="C272">
        <v>3190</v>
      </c>
    </row>
    <row r="273" spans="1:3" ht="15.95">
      <c r="A273" s="3" t="s">
        <v>100</v>
      </c>
      <c r="B273" s="1" t="s">
        <v>126</v>
      </c>
      <c r="C273">
        <v>3200</v>
      </c>
    </row>
    <row r="274" spans="1:3" ht="15.95">
      <c r="A274" s="3" t="s">
        <v>100</v>
      </c>
      <c r="B274" s="1" t="s">
        <v>126</v>
      </c>
      <c r="C274">
        <v>3220</v>
      </c>
    </row>
    <row r="275" spans="1:3" ht="15.95">
      <c r="A275" s="3" t="s">
        <v>100</v>
      </c>
      <c r="B275" s="1" t="s">
        <v>126</v>
      </c>
      <c r="C275">
        <v>3330</v>
      </c>
    </row>
    <row r="276" spans="1:3" ht="15.95">
      <c r="A276" s="3" t="s">
        <v>100</v>
      </c>
      <c r="B276" s="1" t="s">
        <v>126</v>
      </c>
      <c r="C276">
        <v>3350</v>
      </c>
    </row>
    <row r="277" spans="1:3" ht="15.95">
      <c r="A277" s="3" t="s">
        <v>100</v>
      </c>
      <c r="B277" s="1" t="s">
        <v>126</v>
      </c>
      <c r="C277">
        <v>3380</v>
      </c>
    </row>
    <row r="278" spans="1:3" ht="15.95">
      <c r="A278" s="3" t="s">
        <v>100</v>
      </c>
      <c r="B278" s="1" t="s">
        <v>126</v>
      </c>
      <c r="C278">
        <v>3400</v>
      </c>
    </row>
    <row r="279" spans="1:3" ht="15.95">
      <c r="A279" s="3" t="s">
        <v>100</v>
      </c>
      <c r="B279" s="1" t="s">
        <v>126</v>
      </c>
      <c r="C279">
        <v>3460</v>
      </c>
    </row>
    <row r="280" spans="1:3" ht="15.95">
      <c r="A280" s="3" t="s">
        <v>100</v>
      </c>
      <c r="B280" s="1" t="s">
        <v>126</v>
      </c>
      <c r="C280">
        <v>3530</v>
      </c>
    </row>
    <row r="281" spans="1:3" ht="15.95">
      <c r="A281" s="3" t="s">
        <v>100</v>
      </c>
      <c r="B281" s="1" t="s">
        <v>126</v>
      </c>
      <c r="C281">
        <v>3570</v>
      </c>
    </row>
    <row r="282" spans="1:3" ht="15.95">
      <c r="A282" s="3" t="s">
        <v>100</v>
      </c>
      <c r="B282" s="1" t="s">
        <v>126</v>
      </c>
      <c r="C282">
        <v>3580</v>
      </c>
    </row>
    <row r="283" spans="1:3" ht="15.95">
      <c r="A283" s="3" t="s">
        <v>100</v>
      </c>
      <c r="B283" s="1" t="s">
        <v>126</v>
      </c>
      <c r="C283">
        <v>3650</v>
      </c>
    </row>
    <row r="284" spans="1:3" ht="15.95">
      <c r="A284" s="3" t="s">
        <v>100</v>
      </c>
      <c r="B284" s="1" t="s">
        <v>126</v>
      </c>
      <c r="C284">
        <v>3670</v>
      </c>
    </row>
    <row r="285" spans="1:3" ht="15.95">
      <c r="A285" s="3" t="s">
        <v>100</v>
      </c>
      <c r="B285" s="1" t="s">
        <v>126</v>
      </c>
      <c r="C285">
        <v>3690</v>
      </c>
    </row>
    <row r="286" spans="1:3" ht="15.95">
      <c r="A286" s="3" t="s">
        <v>100</v>
      </c>
      <c r="B286" s="1" t="s">
        <v>126</v>
      </c>
      <c r="C286">
        <v>3700</v>
      </c>
    </row>
    <row r="287" spans="1:3" ht="15.95">
      <c r="A287" s="3" t="s">
        <v>100</v>
      </c>
      <c r="B287" s="1" t="s">
        <v>126</v>
      </c>
      <c r="C287">
        <v>3720</v>
      </c>
    </row>
    <row r="288" spans="1:3" ht="15.95">
      <c r="A288" s="3" t="s">
        <v>100</v>
      </c>
      <c r="B288" s="1" t="s">
        <v>126</v>
      </c>
      <c r="C288">
        <v>3740</v>
      </c>
    </row>
    <row r="289" spans="1:3" ht="15.95">
      <c r="A289" s="3" t="s">
        <v>100</v>
      </c>
      <c r="B289" s="1" t="s">
        <v>126</v>
      </c>
      <c r="C289">
        <v>3790</v>
      </c>
    </row>
    <row r="290" spans="1:3" ht="15.95">
      <c r="A290" s="3" t="s">
        <v>100</v>
      </c>
      <c r="B290" s="1" t="s">
        <v>126</v>
      </c>
      <c r="C290">
        <v>3850</v>
      </c>
    </row>
    <row r="291" spans="1:3" ht="15.95">
      <c r="A291" s="3" t="s">
        <v>100</v>
      </c>
      <c r="B291" s="1" t="s">
        <v>126</v>
      </c>
      <c r="C291">
        <v>3890</v>
      </c>
    </row>
    <row r="292" spans="1:3" ht="15.95">
      <c r="A292" s="3" t="s">
        <v>100</v>
      </c>
      <c r="B292" s="1" t="s">
        <v>126</v>
      </c>
      <c r="C292">
        <v>3930</v>
      </c>
    </row>
    <row r="293" spans="1:3" ht="15.95">
      <c r="A293" s="3" t="s">
        <v>100</v>
      </c>
      <c r="B293" s="1" t="s">
        <v>126</v>
      </c>
      <c r="C293">
        <v>3950</v>
      </c>
    </row>
    <row r="294" spans="1:3" ht="15.95">
      <c r="A294" s="3" t="s">
        <v>100</v>
      </c>
      <c r="B294" s="1" t="s">
        <v>126</v>
      </c>
      <c r="C294">
        <v>3970</v>
      </c>
    </row>
    <row r="295" spans="1:3" ht="15.95">
      <c r="A295" s="3" t="s">
        <v>100</v>
      </c>
      <c r="B295" s="1" t="s">
        <v>126</v>
      </c>
      <c r="C295">
        <v>3980</v>
      </c>
    </row>
    <row r="297" spans="1:3" ht="15.95">
      <c r="A297" s="3" t="s">
        <v>100</v>
      </c>
      <c r="B297" s="1" t="s">
        <v>98</v>
      </c>
      <c r="C297">
        <v>40</v>
      </c>
    </row>
    <row r="298" spans="1:3" ht="15.95">
      <c r="A298" s="3" t="s">
        <v>100</v>
      </c>
      <c r="B298" s="1" t="s">
        <v>98</v>
      </c>
      <c r="C298">
        <v>80</v>
      </c>
    </row>
    <row r="299" spans="1:3" ht="15.95">
      <c r="A299" s="3" t="s">
        <v>100</v>
      </c>
      <c r="B299" s="1" t="s">
        <v>98</v>
      </c>
      <c r="C299">
        <v>290</v>
      </c>
    </row>
    <row r="300" spans="1:3" ht="15.95">
      <c r="A300" s="3" t="s">
        <v>100</v>
      </c>
      <c r="B300" s="1" t="s">
        <v>98</v>
      </c>
      <c r="C300">
        <v>300</v>
      </c>
    </row>
    <row r="301" spans="1:3" ht="15.95">
      <c r="A301" s="3" t="s">
        <v>100</v>
      </c>
      <c r="B301" s="1" t="s">
        <v>98</v>
      </c>
      <c r="C301">
        <v>400</v>
      </c>
    </row>
    <row r="302" spans="1:3" ht="15.95">
      <c r="A302" s="3" t="s">
        <v>100</v>
      </c>
      <c r="B302" s="1" t="s">
        <v>98</v>
      </c>
      <c r="C302">
        <v>450</v>
      </c>
    </row>
    <row r="303" spans="1:3" ht="15.95">
      <c r="A303" s="3" t="s">
        <v>100</v>
      </c>
      <c r="B303" s="1" t="s">
        <v>98</v>
      </c>
      <c r="C303">
        <v>500</v>
      </c>
    </row>
    <row r="304" spans="1:3" ht="15.95">
      <c r="A304" s="3" t="s">
        <v>100</v>
      </c>
      <c r="B304" s="1" t="s">
        <v>98</v>
      </c>
      <c r="C304">
        <v>520</v>
      </c>
    </row>
    <row r="305" spans="1:3" ht="15.95">
      <c r="A305" s="3" t="s">
        <v>100</v>
      </c>
      <c r="B305" s="1" t="s">
        <v>98</v>
      </c>
      <c r="C305">
        <v>630</v>
      </c>
    </row>
    <row r="306" spans="1:3" ht="15.95">
      <c r="A306" s="3" t="s">
        <v>100</v>
      </c>
      <c r="B306" s="1" t="s">
        <v>98</v>
      </c>
      <c r="C306">
        <v>650</v>
      </c>
    </row>
    <row r="307" spans="1:3" ht="15.95">
      <c r="A307" s="3" t="s">
        <v>100</v>
      </c>
      <c r="B307" s="1" t="s">
        <v>98</v>
      </c>
      <c r="C307">
        <v>700</v>
      </c>
    </row>
    <row r="308" spans="1:3" ht="15.95">
      <c r="A308" s="3" t="s">
        <v>100</v>
      </c>
      <c r="B308" s="1" t="s">
        <v>98</v>
      </c>
      <c r="C308">
        <v>780</v>
      </c>
    </row>
    <row r="309" spans="1:3" ht="15.95">
      <c r="A309" s="3" t="s">
        <v>100</v>
      </c>
      <c r="B309" s="1" t="s">
        <v>98</v>
      </c>
      <c r="C309">
        <v>800</v>
      </c>
    </row>
    <row r="310" spans="1:3" ht="15.95">
      <c r="A310" s="3" t="s">
        <v>100</v>
      </c>
      <c r="B310" s="1" t="s">
        <v>98</v>
      </c>
      <c r="C310">
        <v>810</v>
      </c>
    </row>
    <row r="311" spans="1:3" ht="15.95">
      <c r="A311" s="3" t="s">
        <v>100</v>
      </c>
      <c r="B311" s="1" t="s">
        <v>98</v>
      </c>
      <c r="C311">
        <v>830</v>
      </c>
    </row>
    <row r="312" spans="1:3" ht="15.95">
      <c r="A312" s="3" t="s">
        <v>100</v>
      </c>
      <c r="B312" s="1" t="s">
        <v>98</v>
      </c>
      <c r="C312">
        <v>840</v>
      </c>
    </row>
    <row r="313" spans="1:3" ht="15.95">
      <c r="A313" s="3" t="s">
        <v>100</v>
      </c>
      <c r="B313" s="1" t="s">
        <v>98</v>
      </c>
      <c r="C313">
        <v>900</v>
      </c>
    </row>
    <row r="314" spans="1:3" ht="15.95">
      <c r="A314" s="3" t="s">
        <v>100</v>
      </c>
      <c r="B314" s="1" t="s">
        <v>98</v>
      </c>
      <c r="C314">
        <v>920</v>
      </c>
    </row>
    <row r="315" spans="1:3" ht="15.95">
      <c r="A315" s="3" t="s">
        <v>100</v>
      </c>
      <c r="B315" s="1" t="s">
        <v>98</v>
      </c>
      <c r="C315">
        <v>960</v>
      </c>
    </row>
    <row r="316" spans="1:3" ht="15.95">
      <c r="A316" s="3" t="s">
        <v>100</v>
      </c>
      <c r="B316" s="1" t="s">
        <v>98</v>
      </c>
      <c r="C316">
        <v>970</v>
      </c>
    </row>
    <row r="317" spans="1:3" ht="15.95">
      <c r="A317" s="3" t="s">
        <v>100</v>
      </c>
      <c r="B317" s="1" t="s">
        <v>98</v>
      </c>
      <c r="C317">
        <v>980</v>
      </c>
    </row>
    <row r="318" spans="1:3" ht="15.95">
      <c r="A318" s="3" t="s">
        <v>100</v>
      </c>
      <c r="B318" s="1" t="s">
        <v>98</v>
      </c>
      <c r="C318">
        <v>990</v>
      </c>
    </row>
    <row r="319" spans="1:3" ht="15.95">
      <c r="A319" s="3" t="s">
        <v>100</v>
      </c>
      <c r="B319" s="1" t="s">
        <v>98</v>
      </c>
      <c r="C319">
        <v>1010</v>
      </c>
    </row>
    <row r="320" spans="1:3" ht="15.95">
      <c r="A320" s="3" t="s">
        <v>100</v>
      </c>
      <c r="B320" s="1" t="s">
        <v>98</v>
      </c>
      <c r="C320">
        <v>1020</v>
      </c>
    </row>
    <row r="321" spans="1:3" ht="15.95">
      <c r="A321" s="3" t="s">
        <v>100</v>
      </c>
      <c r="B321" s="1" t="s">
        <v>98</v>
      </c>
      <c r="C321">
        <v>1080</v>
      </c>
    </row>
    <row r="322" spans="1:3" ht="15.95">
      <c r="A322" s="3" t="s">
        <v>100</v>
      </c>
      <c r="B322" s="1" t="s">
        <v>98</v>
      </c>
      <c r="C322">
        <v>1090</v>
      </c>
    </row>
    <row r="323" spans="1:3" ht="15.95">
      <c r="A323" s="3" t="s">
        <v>100</v>
      </c>
      <c r="B323" s="1" t="s">
        <v>98</v>
      </c>
      <c r="C323">
        <v>1100</v>
      </c>
    </row>
    <row r="324" spans="1:3" ht="15.95">
      <c r="A324" s="3" t="s">
        <v>100</v>
      </c>
      <c r="B324" s="1" t="s">
        <v>98</v>
      </c>
      <c r="C324">
        <v>1210</v>
      </c>
    </row>
    <row r="325" spans="1:3" ht="15.95">
      <c r="A325" s="3" t="s">
        <v>100</v>
      </c>
      <c r="B325" s="1" t="s">
        <v>98</v>
      </c>
      <c r="C325">
        <v>1270</v>
      </c>
    </row>
    <row r="326" spans="1:3" ht="15.95">
      <c r="A326" s="3" t="s">
        <v>100</v>
      </c>
      <c r="B326" s="1" t="s">
        <v>98</v>
      </c>
      <c r="C326">
        <v>1510</v>
      </c>
    </row>
    <row r="327" spans="1:3" ht="15.95">
      <c r="A327" s="3" t="s">
        <v>100</v>
      </c>
      <c r="B327" s="1" t="s">
        <v>98</v>
      </c>
      <c r="C327">
        <v>1520</v>
      </c>
    </row>
    <row r="328" spans="1:3" ht="15.95">
      <c r="A328" s="3" t="s">
        <v>100</v>
      </c>
      <c r="B328" s="1" t="s">
        <v>98</v>
      </c>
      <c r="C328">
        <v>1540</v>
      </c>
    </row>
    <row r="329" spans="1:3" ht="15.95">
      <c r="A329" s="3" t="s">
        <v>100</v>
      </c>
      <c r="B329" s="1" t="s">
        <v>98</v>
      </c>
      <c r="C329">
        <v>1570</v>
      </c>
    </row>
    <row r="330" spans="1:3" ht="15.95">
      <c r="A330" s="3" t="s">
        <v>100</v>
      </c>
      <c r="B330" s="1" t="s">
        <v>98</v>
      </c>
      <c r="C330">
        <v>1580</v>
      </c>
    </row>
    <row r="331" spans="1:3" ht="15.95">
      <c r="A331" s="3" t="s">
        <v>100</v>
      </c>
      <c r="B331" s="1" t="s">
        <v>98</v>
      </c>
      <c r="C331">
        <v>1590</v>
      </c>
    </row>
    <row r="332" spans="1:3" ht="15.95">
      <c r="A332" s="3" t="s">
        <v>100</v>
      </c>
      <c r="B332" s="1" t="s">
        <v>98</v>
      </c>
      <c r="C332">
        <v>1620</v>
      </c>
    </row>
    <row r="333" spans="1:3" ht="15.95">
      <c r="A333" s="3" t="s">
        <v>100</v>
      </c>
      <c r="B333" s="1" t="s">
        <v>98</v>
      </c>
      <c r="C333">
        <v>1640</v>
      </c>
    </row>
    <row r="334" spans="1:3" ht="15.95">
      <c r="A334" s="3" t="s">
        <v>100</v>
      </c>
      <c r="B334" s="1" t="s">
        <v>98</v>
      </c>
      <c r="C334">
        <v>1660</v>
      </c>
    </row>
    <row r="335" spans="1:3" ht="15.95">
      <c r="A335" s="3" t="s">
        <v>100</v>
      </c>
      <c r="B335" s="1" t="s">
        <v>98</v>
      </c>
      <c r="C335">
        <v>1670</v>
      </c>
    </row>
    <row r="336" spans="1:3" ht="15.95">
      <c r="A336" s="3" t="s">
        <v>100</v>
      </c>
      <c r="B336" s="1" t="s">
        <v>98</v>
      </c>
      <c r="C336">
        <v>1690</v>
      </c>
    </row>
    <row r="337" spans="1:3" ht="15.95">
      <c r="A337" s="3" t="s">
        <v>100</v>
      </c>
      <c r="B337" s="1" t="s">
        <v>98</v>
      </c>
      <c r="C337">
        <v>1700</v>
      </c>
    </row>
    <row r="338" spans="1:3" ht="15.95">
      <c r="A338" s="3" t="s">
        <v>100</v>
      </c>
      <c r="B338" s="1" t="s">
        <v>98</v>
      </c>
      <c r="C338">
        <v>1810</v>
      </c>
    </row>
    <row r="339" spans="1:3" ht="15.95">
      <c r="A339" s="3" t="s">
        <v>100</v>
      </c>
      <c r="B339" s="1" t="s">
        <v>98</v>
      </c>
      <c r="C339">
        <v>1830</v>
      </c>
    </row>
    <row r="340" spans="1:3" ht="15.95">
      <c r="A340" s="3" t="s">
        <v>100</v>
      </c>
      <c r="B340" s="1" t="s">
        <v>98</v>
      </c>
      <c r="C340">
        <v>1980</v>
      </c>
    </row>
    <row r="341" spans="1:3" ht="15.95">
      <c r="A341" s="3" t="s">
        <v>100</v>
      </c>
      <c r="B341" s="1" t="s">
        <v>98</v>
      </c>
      <c r="C341">
        <v>2020</v>
      </c>
    </row>
    <row r="342" spans="1:3" ht="15.95">
      <c r="A342" s="3" t="s">
        <v>100</v>
      </c>
      <c r="B342" s="1" t="s">
        <v>98</v>
      </c>
      <c r="C342">
        <v>2130</v>
      </c>
    </row>
    <row r="343" spans="1:3" ht="15.95">
      <c r="A343" s="3" t="s">
        <v>100</v>
      </c>
      <c r="B343" s="1" t="s">
        <v>98</v>
      </c>
      <c r="C343">
        <v>2140</v>
      </c>
    </row>
    <row r="344" spans="1:3" ht="15.95">
      <c r="A344" s="3" t="s">
        <v>100</v>
      </c>
      <c r="B344" s="1" t="s">
        <v>98</v>
      </c>
      <c r="C344">
        <v>2170</v>
      </c>
    </row>
    <row r="345" spans="1:3" ht="15.95">
      <c r="A345" s="3" t="s">
        <v>100</v>
      </c>
      <c r="B345" s="1" t="s">
        <v>98</v>
      </c>
      <c r="C345">
        <v>2280</v>
      </c>
    </row>
    <row r="346" spans="1:3" ht="15.95">
      <c r="A346" s="3" t="s">
        <v>100</v>
      </c>
      <c r="B346" s="1" t="s">
        <v>98</v>
      </c>
      <c r="C346">
        <v>2330</v>
      </c>
    </row>
    <row r="347" spans="1:3" ht="15.95">
      <c r="A347" s="3" t="s">
        <v>100</v>
      </c>
      <c r="B347" s="1" t="s">
        <v>98</v>
      </c>
      <c r="C347">
        <v>2340</v>
      </c>
    </row>
    <row r="348" spans="1:3" ht="15.95">
      <c r="A348" s="3" t="s">
        <v>100</v>
      </c>
      <c r="B348" s="1" t="s">
        <v>98</v>
      </c>
      <c r="C348">
        <v>2350</v>
      </c>
    </row>
    <row r="349" spans="1:3" ht="15.95">
      <c r="A349" s="3" t="s">
        <v>100</v>
      </c>
      <c r="B349" s="1" t="s">
        <v>98</v>
      </c>
      <c r="C349">
        <v>2360</v>
      </c>
    </row>
    <row r="350" spans="1:3" ht="15.95">
      <c r="A350" s="3" t="s">
        <v>100</v>
      </c>
      <c r="B350" s="1" t="s">
        <v>98</v>
      </c>
      <c r="C350">
        <v>2370</v>
      </c>
    </row>
    <row r="351" spans="1:3" ht="15.95">
      <c r="A351" s="3" t="s">
        <v>100</v>
      </c>
      <c r="B351" s="1" t="s">
        <v>98</v>
      </c>
      <c r="C351">
        <v>2390</v>
      </c>
    </row>
    <row r="352" spans="1:3" ht="15.95">
      <c r="A352" s="3" t="s">
        <v>100</v>
      </c>
      <c r="B352" s="1" t="s">
        <v>98</v>
      </c>
      <c r="C352">
        <v>2430</v>
      </c>
    </row>
    <row r="353" spans="1:3" ht="15.95">
      <c r="A353" s="3" t="s">
        <v>100</v>
      </c>
      <c r="B353" s="1" t="s">
        <v>98</v>
      </c>
      <c r="C353">
        <v>2440</v>
      </c>
    </row>
    <row r="354" spans="1:3" ht="15.95">
      <c r="A354" s="3" t="s">
        <v>100</v>
      </c>
      <c r="B354" s="1" t="s">
        <v>98</v>
      </c>
      <c r="C354">
        <v>2470</v>
      </c>
    </row>
    <row r="355" spans="1:3" ht="15.95">
      <c r="A355" s="3" t="s">
        <v>100</v>
      </c>
      <c r="B355" s="1" t="s">
        <v>98</v>
      </c>
      <c r="C355">
        <v>2490</v>
      </c>
    </row>
    <row r="356" spans="1:3" ht="15.95">
      <c r="A356" s="3" t="s">
        <v>100</v>
      </c>
      <c r="B356" s="1" t="s">
        <v>98</v>
      </c>
      <c r="C356">
        <v>2500</v>
      </c>
    </row>
    <row r="357" spans="1:3" ht="15.95">
      <c r="A357" s="3" t="s">
        <v>100</v>
      </c>
      <c r="B357" s="1" t="s">
        <v>98</v>
      </c>
      <c r="C357">
        <v>2530</v>
      </c>
    </row>
    <row r="358" spans="1:3" ht="15.95">
      <c r="A358" s="3" t="s">
        <v>100</v>
      </c>
      <c r="B358" s="1" t="s">
        <v>98</v>
      </c>
      <c r="C358">
        <v>2540</v>
      </c>
    </row>
    <row r="359" spans="1:3" ht="15.95">
      <c r="A359" s="3" t="s">
        <v>100</v>
      </c>
      <c r="B359" s="1" t="s">
        <v>98</v>
      </c>
      <c r="C359">
        <v>2560</v>
      </c>
    </row>
    <row r="360" spans="1:3" ht="15.95">
      <c r="A360" s="3" t="s">
        <v>100</v>
      </c>
      <c r="B360" s="1" t="s">
        <v>98</v>
      </c>
      <c r="C360">
        <v>2590</v>
      </c>
    </row>
    <row r="361" spans="1:3" ht="15.95">
      <c r="A361" s="3" t="s">
        <v>100</v>
      </c>
      <c r="B361" s="1" t="s">
        <v>98</v>
      </c>
      <c r="C361">
        <v>2600</v>
      </c>
    </row>
    <row r="362" spans="1:3" ht="15.95">
      <c r="A362" s="3" t="s">
        <v>100</v>
      </c>
      <c r="B362" s="1" t="s">
        <v>98</v>
      </c>
      <c r="C362">
        <v>2620</v>
      </c>
    </row>
    <row r="363" spans="1:3" ht="15.95">
      <c r="A363" s="3" t="s">
        <v>100</v>
      </c>
      <c r="B363" s="1" t="s">
        <v>98</v>
      </c>
      <c r="C363">
        <v>2630</v>
      </c>
    </row>
    <row r="364" spans="1:3" ht="15.95">
      <c r="A364" s="3" t="s">
        <v>100</v>
      </c>
      <c r="B364" s="1" t="s">
        <v>98</v>
      </c>
      <c r="C364">
        <v>2640</v>
      </c>
    </row>
    <row r="365" spans="1:3" ht="15.95">
      <c r="A365" s="3" t="s">
        <v>100</v>
      </c>
      <c r="B365" s="1" t="s">
        <v>98</v>
      </c>
      <c r="C365">
        <v>2650</v>
      </c>
    </row>
    <row r="366" spans="1:3" ht="15.95">
      <c r="A366" s="3" t="s">
        <v>100</v>
      </c>
      <c r="B366" s="1" t="s">
        <v>98</v>
      </c>
      <c r="C366">
        <v>2700</v>
      </c>
    </row>
    <row r="367" spans="1:3" ht="15.95">
      <c r="A367" s="3" t="s">
        <v>100</v>
      </c>
      <c r="B367" s="1" t="s">
        <v>98</v>
      </c>
      <c r="C367">
        <v>2730</v>
      </c>
    </row>
    <row r="368" spans="1:3" ht="15.95">
      <c r="A368" s="3" t="s">
        <v>100</v>
      </c>
      <c r="B368" s="1" t="s">
        <v>98</v>
      </c>
      <c r="C368">
        <v>2750</v>
      </c>
    </row>
    <row r="369" spans="1:3" ht="15.95">
      <c r="A369" s="3" t="s">
        <v>100</v>
      </c>
      <c r="B369" s="1" t="s">
        <v>98</v>
      </c>
      <c r="C369">
        <v>2810</v>
      </c>
    </row>
    <row r="370" spans="1:3" ht="15.95">
      <c r="A370" s="3" t="s">
        <v>100</v>
      </c>
      <c r="B370" s="1" t="s">
        <v>98</v>
      </c>
      <c r="C370">
        <v>2830</v>
      </c>
    </row>
    <row r="371" spans="1:3" ht="15.95">
      <c r="A371" s="3" t="s">
        <v>100</v>
      </c>
      <c r="B371" s="1" t="s">
        <v>98</v>
      </c>
      <c r="C371">
        <v>2850</v>
      </c>
    </row>
    <row r="373" spans="1:3" ht="15.95">
      <c r="A373" s="3" t="s">
        <v>100</v>
      </c>
      <c r="B373" s="1" t="s">
        <v>109</v>
      </c>
      <c r="C373">
        <v>10</v>
      </c>
    </row>
    <row r="374" spans="1:3" ht="15.95">
      <c r="A374" s="3" t="s">
        <v>100</v>
      </c>
      <c r="B374" s="1" t="s">
        <v>109</v>
      </c>
      <c r="C374">
        <v>20</v>
      </c>
    </row>
    <row r="375" spans="1:3" ht="15.95">
      <c r="A375" s="3" t="s">
        <v>100</v>
      </c>
      <c r="B375" s="1" t="s">
        <v>109</v>
      </c>
      <c r="C375">
        <v>30</v>
      </c>
    </row>
    <row r="376" spans="1:3" ht="15.95">
      <c r="A376" s="3" t="s">
        <v>100</v>
      </c>
      <c r="B376" s="1" t="s">
        <v>109</v>
      </c>
      <c r="C376">
        <v>60</v>
      </c>
    </row>
    <row r="377" spans="1:3" ht="15.95">
      <c r="A377" s="3" t="s">
        <v>100</v>
      </c>
      <c r="B377" s="1" t="s">
        <v>109</v>
      </c>
      <c r="C377">
        <v>80</v>
      </c>
    </row>
    <row r="378" spans="1:3" ht="15.95">
      <c r="A378" s="3" t="s">
        <v>100</v>
      </c>
      <c r="B378" s="1" t="s">
        <v>109</v>
      </c>
      <c r="C378">
        <v>110</v>
      </c>
    </row>
    <row r="379" spans="1:3" ht="15.95">
      <c r="A379" s="3" t="s">
        <v>100</v>
      </c>
      <c r="B379" s="1" t="s">
        <v>109</v>
      </c>
      <c r="C379">
        <v>120</v>
      </c>
    </row>
    <row r="380" spans="1:3" ht="15.95">
      <c r="A380" s="3" t="s">
        <v>100</v>
      </c>
      <c r="B380" s="1" t="s">
        <v>109</v>
      </c>
      <c r="C380">
        <v>130</v>
      </c>
    </row>
    <row r="381" spans="1:3" ht="15.95">
      <c r="A381" s="3" t="s">
        <v>100</v>
      </c>
      <c r="B381" s="1" t="s">
        <v>109</v>
      </c>
      <c r="C381">
        <v>140</v>
      </c>
    </row>
    <row r="382" spans="1:3" ht="15.95">
      <c r="A382" s="3" t="s">
        <v>100</v>
      </c>
      <c r="B382" s="1" t="s">
        <v>109</v>
      </c>
      <c r="C382">
        <v>160</v>
      </c>
    </row>
    <row r="383" spans="1:3" ht="15.95">
      <c r="A383" s="3" t="s">
        <v>100</v>
      </c>
      <c r="B383" s="1" t="s">
        <v>109</v>
      </c>
      <c r="C383">
        <v>200</v>
      </c>
    </row>
    <row r="384" spans="1:3" ht="15.95">
      <c r="A384" s="3" t="s">
        <v>100</v>
      </c>
      <c r="B384" s="1" t="s">
        <v>109</v>
      </c>
      <c r="C384">
        <v>330</v>
      </c>
    </row>
    <row r="385" spans="1:3" ht="15.95">
      <c r="A385" s="3" t="s">
        <v>100</v>
      </c>
      <c r="B385" s="1" t="s">
        <v>109</v>
      </c>
      <c r="C385">
        <v>370</v>
      </c>
    </row>
    <row r="386" spans="1:3" ht="15.95">
      <c r="A386" s="3" t="s">
        <v>100</v>
      </c>
      <c r="B386" s="1" t="s">
        <v>109</v>
      </c>
      <c r="C386">
        <v>380</v>
      </c>
    </row>
    <row r="387" spans="1:3" ht="15.95">
      <c r="A387" s="3" t="s">
        <v>100</v>
      </c>
      <c r="B387" s="1" t="s">
        <v>109</v>
      </c>
      <c r="C387">
        <v>390</v>
      </c>
    </row>
    <row r="388" spans="1:3" ht="15.95">
      <c r="A388" s="3" t="s">
        <v>100</v>
      </c>
      <c r="B388" s="1" t="s">
        <v>109</v>
      </c>
      <c r="C388">
        <v>460</v>
      </c>
    </row>
    <row r="389" spans="1:3" ht="15.95">
      <c r="A389" s="3" t="s">
        <v>100</v>
      </c>
      <c r="B389" s="1" t="s">
        <v>109</v>
      </c>
      <c r="C389">
        <v>530</v>
      </c>
    </row>
    <row r="390" spans="1:3" ht="15.95">
      <c r="A390" s="3" t="s">
        <v>100</v>
      </c>
      <c r="B390" s="1" t="s">
        <v>109</v>
      </c>
      <c r="C390">
        <v>550</v>
      </c>
    </row>
    <row r="391" spans="1:3" ht="15.95">
      <c r="A391" s="3" t="s">
        <v>100</v>
      </c>
      <c r="B391" s="1" t="s">
        <v>109</v>
      </c>
      <c r="C391">
        <v>580</v>
      </c>
    </row>
    <row r="392" spans="1:3" ht="15.95">
      <c r="A392" s="3" t="s">
        <v>100</v>
      </c>
      <c r="B392" s="1" t="s">
        <v>109</v>
      </c>
      <c r="C392">
        <v>590</v>
      </c>
    </row>
    <row r="393" spans="1:3" ht="15.95">
      <c r="A393" s="3" t="s">
        <v>100</v>
      </c>
      <c r="B393" s="1" t="s">
        <v>109</v>
      </c>
      <c r="C393">
        <v>610</v>
      </c>
    </row>
    <row r="394" spans="1:3" ht="15.95">
      <c r="A394" s="3" t="s">
        <v>100</v>
      </c>
      <c r="B394" s="1" t="s">
        <v>109</v>
      </c>
      <c r="C394">
        <v>630</v>
      </c>
    </row>
    <row r="395" spans="1:3" ht="15.95">
      <c r="A395" s="3" t="s">
        <v>100</v>
      </c>
      <c r="B395" s="1" t="s">
        <v>109</v>
      </c>
      <c r="C395">
        <v>640</v>
      </c>
    </row>
    <row r="396" spans="1:3" ht="15.95">
      <c r="A396" s="3" t="s">
        <v>100</v>
      </c>
      <c r="B396" s="1" t="s">
        <v>109</v>
      </c>
      <c r="C396">
        <v>660</v>
      </c>
    </row>
    <row r="397" spans="1:3" ht="15.95">
      <c r="A397" s="3" t="s">
        <v>100</v>
      </c>
      <c r="B397" s="1" t="s">
        <v>109</v>
      </c>
      <c r="C397">
        <v>710</v>
      </c>
    </row>
    <row r="398" spans="1:3" ht="15.95">
      <c r="A398" s="3" t="s">
        <v>100</v>
      </c>
      <c r="B398" s="1" t="s">
        <v>109</v>
      </c>
      <c r="C398">
        <v>730</v>
      </c>
    </row>
    <row r="399" spans="1:3" ht="15.95">
      <c r="A399" s="3" t="s">
        <v>100</v>
      </c>
      <c r="B399" s="1" t="s">
        <v>109</v>
      </c>
      <c r="C399">
        <v>870</v>
      </c>
    </row>
    <row r="401" spans="1:6" ht="15.95">
      <c r="A401" s="2" t="s">
        <v>100</v>
      </c>
      <c r="B401" t="s">
        <v>112</v>
      </c>
      <c r="C401" s="7">
        <v>0</v>
      </c>
      <c r="D401" s="7" t="s">
        <v>51</v>
      </c>
    </row>
    <row r="402" spans="1:6" ht="15.95">
      <c r="A402" s="2" t="s">
        <v>100</v>
      </c>
      <c r="B402" t="s">
        <v>112</v>
      </c>
      <c r="C402" s="7">
        <v>10</v>
      </c>
      <c r="D402" s="7"/>
      <c r="E402">
        <v>1</v>
      </c>
    </row>
    <row r="403" spans="1:6" ht="15.95">
      <c r="A403" s="2" t="s">
        <v>100</v>
      </c>
      <c r="B403" t="s">
        <v>112</v>
      </c>
      <c r="C403" s="7">
        <v>30</v>
      </c>
      <c r="D403" s="7"/>
      <c r="F403">
        <v>2</v>
      </c>
    </row>
    <row r="404" spans="1:6" ht="15.95">
      <c r="A404" s="2" t="s">
        <v>100</v>
      </c>
      <c r="B404" t="s">
        <v>112</v>
      </c>
      <c r="C404" s="7">
        <v>60</v>
      </c>
      <c r="D404" s="7"/>
      <c r="E404">
        <v>1</v>
      </c>
      <c r="F404">
        <v>2</v>
      </c>
    </row>
    <row r="405" spans="1:6" ht="15.95">
      <c r="A405" s="2" t="s">
        <v>100</v>
      </c>
      <c r="B405" t="s">
        <v>112</v>
      </c>
      <c r="C405" s="7">
        <v>70</v>
      </c>
      <c r="D405" s="7"/>
      <c r="E405">
        <v>1</v>
      </c>
      <c r="F405">
        <v>2</v>
      </c>
    </row>
    <row r="406" spans="1:6" ht="15.95">
      <c r="A406" s="2" t="s">
        <v>100</v>
      </c>
      <c r="B406" t="s">
        <v>112</v>
      </c>
      <c r="C406" s="7">
        <v>80</v>
      </c>
      <c r="D406" s="7"/>
      <c r="E406">
        <v>1</v>
      </c>
      <c r="F406">
        <v>2</v>
      </c>
    </row>
    <row r="407" spans="1:6" ht="15.95">
      <c r="A407" s="2" t="s">
        <v>100</v>
      </c>
      <c r="B407" t="s">
        <v>112</v>
      </c>
      <c r="C407" s="7">
        <v>90</v>
      </c>
      <c r="D407" s="7"/>
      <c r="E407">
        <v>1</v>
      </c>
      <c r="F407">
        <v>2</v>
      </c>
    </row>
    <row r="408" spans="1:6" ht="15.95">
      <c r="A408" s="2" t="s">
        <v>100</v>
      </c>
      <c r="B408" t="s">
        <v>112</v>
      </c>
      <c r="C408" s="7">
        <v>120</v>
      </c>
      <c r="D408" s="7"/>
      <c r="E408">
        <v>1</v>
      </c>
    </row>
    <row r="409" spans="1:6" ht="15.95">
      <c r="A409" s="2" t="s">
        <v>100</v>
      </c>
      <c r="B409" t="s">
        <v>112</v>
      </c>
      <c r="C409" s="7">
        <v>140</v>
      </c>
      <c r="D409" s="7"/>
      <c r="E409">
        <v>1</v>
      </c>
    </row>
    <row r="410" spans="1:6" ht="15.95">
      <c r="A410" s="2" t="s">
        <v>100</v>
      </c>
      <c r="B410" t="s">
        <v>112</v>
      </c>
      <c r="C410" s="7">
        <v>150</v>
      </c>
      <c r="D410" s="7"/>
      <c r="E410">
        <v>1</v>
      </c>
    </row>
    <row r="412" spans="1:6" ht="15.95">
      <c r="A412" s="3" t="s">
        <v>100</v>
      </c>
      <c r="B412" s="1" t="s">
        <v>114</v>
      </c>
      <c r="C412">
        <v>0</v>
      </c>
      <c r="E412">
        <v>1</v>
      </c>
      <c r="F412">
        <v>1</v>
      </c>
    </row>
    <row r="413" spans="1:6" ht="15.95">
      <c r="A413" s="3" t="s">
        <v>100</v>
      </c>
      <c r="B413" s="1" t="s">
        <v>114</v>
      </c>
      <c r="C413">
        <v>10</v>
      </c>
      <c r="E413">
        <v>1</v>
      </c>
      <c r="F413">
        <v>2</v>
      </c>
    </row>
    <row r="414" spans="1:6" ht="15.95">
      <c r="A414" s="3" t="s">
        <v>100</v>
      </c>
      <c r="B414" s="1" t="s">
        <v>114</v>
      </c>
      <c r="C414">
        <v>20</v>
      </c>
      <c r="E414">
        <v>1</v>
      </c>
    </row>
    <row r="415" spans="1:6" ht="15.95">
      <c r="A415" s="3" t="s">
        <v>100</v>
      </c>
      <c r="B415" s="1" t="s">
        <v>114</v>
      </c>
      <c r="C415">
        <v>50</v>
      </c>
      <c r="E415">
        <v>1</v>
      </c>
    </row>
    <row r="416" spans="1:6" ht="15.95">
      <c r="A416" s="3" t="s">
        <v>100</v>
      </c>
      <c r="B416" s="1" t="s">
        <v>114</v>
      </c>
      <c r="C416">
        <v>70</v>
      </c>
      <c r="E416">
        <v>1</v>
      </c>
      <c r="F416">
        <v>2</v>
      </c>
    </row>
    <row r="417" spans="1:6" ht="15.95">
      <c r="A417" s="3" t="s">
        <v>100</v>
      </c>
      <c r="B417" s="1" t="s">
        <v>114</v>
      </c>
      <c r="C417">
        <v>100</v>
      </c>
      <c r="E417">
        <v>1</v>
      </c>
      <c r="F417">
        <v>2</v>
      </c>
    </row>
    <row r="419" spans="1:6" ht="15.95">
      <c r="A419" s="2" t="s">
        <v>100</v>
      </c>
      <c r="B419" t="s">
        <v>115</v>
      </c>
      <c r="C419">
        <v>0</v>
      </c>
      <c r="E419">
        <v>1</v>
      </c>
    </row>
    <row r="420" spans="1:6" ht="15.95">
      <c r="A420" s="2" t="s">
        <v>100</v>
      </c>
      <c r="B420" t="s">
        <v>115</v>
      </c>
      <c r="C420">
        <v>40</v>
      </c>
      <c r="E420">
        <v>1</v>
      </c>
    </row>
    <row r="422" spans="1:6" ht="15.95">
      <c r="A422" s="3" t="s">
        <v>100</v>
      </c>
      <c r="B422" s="1" t="s">
        <v>117</v>
      </c>
      <c r="C422">
        <v>0</v>
      </c>
      <c r="E422">
        <v>1</v>
      </c>
      <c r="F422">
        <v>2</v>
      </c>
    </row>
    <row r="423" spans="1:6" ht="15.95">
      <c r="A423" s="3" t="s">
        <v>100</v>
      </c>
      <c r="B423" s="1" t="s">
        <v>117</v>
      </c>
      <c r="C423">
        <v>10</v>
      </c>
      <c r="E423">
        <v>1</v>
      </c>
      <c r="F423">
        <v>1</v>
      </c>
    </row>
    <row r="424" spans="1:6" ht="15.95">
      <c r="A424" s="3" t="s">
        <v>100</v>
      </c>
      <c r="B424" s="1" t="s">
        <v>117</v>
      </c>
      <c r="C424">
        <v>40</v>
      </c>
      <c r="F424">
        <v>1</v>
      </c>
    </row>
    <row r="425" spans="1:6" ht="15.95">
      <c r="A425" s="3" t="s">
        <v>100</v>
      </c>
      <c r="B425" s="1" t="s">
        <v>117</v>
      </c>
      <c r="C425">
        <v>60</v>
      </c>
      <c r="F425">
        <v>1</v>
      </c>
    </row>
    <row r="426" spans="1:6" ht="15.95">
      <c r="A426" s="3" t="s">
        <v>100</v>
      </c>
      <c r="B426" s="1" t="s">
        <v>117</v>
      </c>
      <c r="C426">
        <v>80</v>
      </c>
      <c r="E426">
        <v>1</v>
      </c>
      <c r="F426">
        <v>2</v>
      </c>
    </row>
    <row r="427" spans="1:6" ht="15.95">
      <c r="A427" s="3" t="s">
        <v>100</v>
      </c>
      <c r="B427" s="1" t="s">
        <v>117</v>
      </c>
      <c r="C427">
        <v>100</v>
      </c>
      <c r="F427">
        <v>1</v>
      </c>
    </row>
    <row r="428" spans="1:6" ht="15.95">
      <c r="A428" s="3" t="s">
        <v>100</v>
      </c>
      <c r="B428" s="1" t="s">
        <v>117</v>
      </c>
      <c r="C428">
        <v>120</v>
      </c>
      <c r="D428" s="7" t="s">
        <v>51</v>
      </c>
    </row>
    <row r="430" spans="1:6" ht="15.95">
      <c r="A430" s="8" t="s">
        <v>100</v>
      </c>
      <c r="B430" s="9" t="s">
        <v>191</v>
      </c>
      <c r="C430" s="9" t="s">
        <v>192</v>
      </c>
      <c r="D430" s="9"/>
    </row>
    <row r="432" spans="1:6" ht="15.95">
      <c r="A432" s="4" t="s">
        <v>17</v>
      </c>
      <c r="B432" t="s">
        <v>18</v>
      </c>
      <c r="C432">
        <v>0</v>
      </c>
    </row>
    <row r="433" spans="1:3" ht="15.95">
      <c r="A433" s="4" t="s">
        <v>17</v>
      </c>
      <c r="B433" t="s">
        <v>18</v>
      </c>
      <c r="C433">
        <v>10</v>
      </c>
    </row>
    <row r="434" spans="1:3" ht="15.95">
      <c r="A434" s="4" t="s">
        <v>25</v>
      </c>
      <c r="B434" t="s">
        <v>18</v>
      </c>
      <c r="C434">
        <v>30</v>
      </c>
    </row>
    <row r="435" spans="1:3" ht="15.95">
      <c r="A435" s="4" t="s">
        <v>25</v>
      </c>
      <c r="B435" t="s">
        <v>18</v>
      </c>
      <c r="C435">
        <v>40</v>
      </c>
    </row>
    <row r="436" spans="1:3" ht="15.95">
      <c r="A436" s="4" t="s">
        <v>25</v>
      </c>
      <c r="B436" t="s">
        <v>18</v>
      </c>
      <c r="C436">
        <v>70</v>
      </c>
    </row>
    <row r="437" spans="1:3" ht="15.95">
      <c r="A437" s="4" t="s">
        <v>25</v>
      </c>
      <c r="B437" t="s">
        <v>18</v>
      </c>
      <c r="C437">
        <v>80</v>
      </c>
    </row>
    <row r="438" spans="1:3" ht="15.95">
      <c r="A438" s="4" t="s">
        <v>25</v>
      </c>
      <c r="B438" t="s">
        <v>18</v>
      </c>
      <c r="C438">
        <v>110</v>
      </c>
    </row>
    <row r="439" spans="1:3" ht="15.95">
      <c r="A439" s="4" t="s">
        <v>25</v>
      </c>
      <c r="B439" t="s">
        <v>18</v>
      </c>
      <c r="C439">
        <v>140</v>
      </c>
    </row>
    <row r="440" spans="1:3" ht="15.95">
      <c r="A440" s="4" t="s">
        <v>25</v>
      </c>
      <c r="B440" t="s">
        <v>18</v>
      </c>
      <c r="C440">
        <v>190</v>
      </c>
    </row>
    <row r="441" spans="1:3" ht="15.95">
      <c r="A441" s="4" t="s">
        <v>25</v>
      </c>
      <c r="B441" t="s">
        <v>18</v>
      </c>
      <c r="C441">
        <v>200</v>
      </c>
    </row>
    <row r="442" spans="1:3" ht="15.95">
      <c r="A442" s="4" t="s">
        <v>25</v>
      </c>
      <c r="B442" t="s">
        <v>18</v>
      </c>
      <c r="C442">
        <v>210</v>
      </c>
    </row>
    <row r="443" spans="1:3" ht="15.95">
      <c r="A443" s="4" t="s">
        <v>25</v>
      </c>
      <c r="B443" t="s">
        <v>18</v>
      </c>
      <c r="C443">
        <v>230</v>
      </c>
    </row>
    <row r="444" spans="1:3" ht="15.95">
      <c r="A444" s="4" t="s">
        <v>25</v>
      </c>
      <c r="B444" t="s">
        <v>18</v>
      </c>
      <c r="C444">
        <v>240</v>
      </c>
    </row>
    <row r="445" spans="1:3" ht="15.95">
      <c r="A445" s="4" t="s">
        <v>25</v>
      </c>
      <c r="B445" t="s">
        <v>18</v>
      </c>
      <c r="C445">
        <v>250</v>
      </c>
    </row>
    <row r="446" spans="1:3" ht="15.95">
      <c r="A446" s="4" t="s">
        <v>25</v>
      </c>
      <c r="B446" t="s">
        <v>18</v>
      </c>
      <c r="C446">
        <v>260</v>
      </c>
    </row>
    <row r="447" spans="1:3" ht="15.95">
      <c r="A447" s="4" t="s">
        <v>25</v>
      </c>
      <c r="B447" t="s">
        <v>18</v>
      </c>
      <c r="C447">
        <v>270</v>
      </c>
    </row>
    <row r="448" spans="1:3" ht="15.95">
      <c r="A448" s="4" t="s">
        <v>25</v>
      </c>
      <c r="B448" t="s">
        <v>18</v>
      </c>
      <c r="C448">
        <v>280</v>
      </c>
    </row>
    <row r="449" spans="1:3" ht="15.95">
      <c r="A449" s="4" t="s">
        <v>25</v>
      </c>
      <c r="B449" t="s">
        <v>18</v>
      </c>
      <c r="C449">
        <v>300</v>
      </c>
    </row>
    <row r="450" spans="1:3" ht="15.95">
      <c r="A450" s="4" t="s">
        <v>25</v>
      </c>
      <c r="B450" t="s">
        <v>18</v>
      </c>
      <c r="C450">
        <v>310</v>
      </c>
    </row>
    <row r="451" spans="1:3" ht="15.95">
      <c r="A451" s="4" t="s">
        <v>25</v>
      </c>
      <c r="B451" t="s">
        <v>18</v>
      </c>
      <c r="C451">
        <v>320</v>
      </c>
    </row>
    <row r="453" spans="1:3" ht="15.95">
      <c r="A453" s="5" t="s">
        <v>17</v>
      </c>
      <c r="B453" s="1" t="s">
        <v>41</v>
      </c>
      <c r="C453">
        <v>20</v>
      </c>
    </row>
    <row r="454" spans="1:3" ht="15.95">
      <c r="A454" s="5" t="s">
        <v>25</v>
      </c>
      <c r="B454" s="1" t="s">
        <v>41</v>
      </c>
      <c r="C454">
        <v>40</v>
      </c>
    </row>
    <row r="455" spans="1:3" ht="15.95">
      <c r="A455" s="5" t="s">
        <v>25</v>
      </c>
      <c r="B455" s="1" t="s">
        <v>41</v>
      </c>
      <c r="C455">
        <v>60</v>
      </c>
    </row>
    <row r="456" spans="1:3" ht="15.95">
      <c r="A456" s="5" t="s">
        <v>25</v>
      </c>
      <c r="B456" s="1" t="s">
        <v>41</v>
      </c>
      <c r="C456">
        <v>70</v>
      </c>
    </row>
    <row r="457" spans="1:3" ht="15.95">
      <c r="A457" s="5" t="s">
        <v>25</v>
      </c>
      <c r="B457" s="1" t="s">
        <v>41</v>
      </c>
      <c r="C457">
        <v>80</v>
      </c>
    </row>
    <row r="458" spans="1:3" ht="15.95">
      <c r="A458" s="5" t="s">
        <v>25</v>
      </c>
      <c r="B458" s="1" t="s">
        <v>41</v>
      </c>
      <c r="C458">
        <v>110</v>
      </c>
    </row>
    <row r="459" spans="1:3" ht="15.95">
      <c r="A459" s="5" t="s">
        <v>25</v>
      </c>
      <c r="B459" s="1" t="s">
        <v>41</v>
      </c>
      <c r="C459">
        <v>120</v>
      </c>
    </row>
    <row r="460" spans="1:3" ht="15.95">
      <c r="A460" s="5" t="s">
        <v>25</v>
      </c>
      <c r="B460" s="1" t="s">
        <v>41</v>
      </c>
      <c r="C460">
        <v>130</v>
      </c>
    </row>
    <row r="461" spans="1:3" ht="15.95">
      <c r="A461" s="5" t="s">
        <v>25</v>
      </c>
      <c r="B461" s="1" t="s">
        <v>41</v>
      </c>
      <c r="C461">
        <v>160</v>
      </c>
    </row>
    <row r="462" spans="1:3" ht="15.95">
      <c r="A462" s="5" t="s">
        <v>25</v>
      </c>
      <c r="B462" s="1" t="s">
        <v>41</v>
      </c>
      <c r="C462">
        <v>200</v>
      </c>
    </row>
    <row r="463" spans="1:3" ht="15.95">
      <c r="A463" s="5" t="s">
        <v>25</v>
      </c>
      <c r="B463" s="1" t="s">
        <v>41</v>
      </c>
      <c r="C463">
        <v>270</v>
      </c>
    </row>
    <row r="464" spans="1:3" ht="15.95">
      <c r="A464" s="5" t="s">
        <v>25</v>
      </c>
      <c r="B464" s="1" t="s">
        <v>41</v>
      </c>
      <c r="C464">
        <v>280</v>
      </c>
    </row>
    <row r="465" spans="1:3" ht="15.95">
      <c r="A465" s="5" t="s">
        <v>25</v>
      </c>
      <c r="B465" s="1" t="s">
        <v>41</v>
      </c>
      <c r="C465">
        <v>290</v>
      </c>
    </row>
    <row r="466" spans="1:3" ht="15.95">
      <c r="A466" s="5" t="s">
        <v>25</v>
      </c>
      <c r="B466" s="1" t="s">
        <v>41</v>
      </c>
      <c r="C466">
        <v>300</v>
      </c>
    </row>
    <row r="467" spans="1:3" ht="15.95">
      <c r="A467" s="5" t="s">
        <v>25</v>
      </c>
      <c r="B467" s="1" t="s">
        <v>41</v>
      </c>
      <c r="C467">
        <v>310</v>
      </c>
    </row>
    <row r="468" spans="1:3" ht="15.95">
      <c r="A468" s="5" t="s">
        <v>25</v>
      </c>
      <c r="B468" s="1" t="s">
        <v>41</v>
      </c>
      <c r="C468">
        <v>330</v>
      </c>
    </row>
    <row r="470" spans="1:3" ht="15.95">
      <c r="A470" s="4" t="s">
        <v>25</v>
      </c>
      <c r="B470" t="s">
        <v>44</v>
      </c>
      <c r="C470">
        <v>0</v>
      </c>
    </row>
    <row r="471" spans="1:3" ht="15.95">
      <c r="A471" s="4" t="s">
        <v>25</v>
      </c>
      <c r="B471" t="s">
        <v>44</v>
      </c>
      <c r="C471">
        <v>20</v>
      </c>
    </row>
    <row r="472" spans="1:3" ht="15.95">
      <c r="A472" s="4" t="s">
        <v>25</v>
      </c>
      <c r="B472" t="s">
        <v>44</v>
      </c>
      <c r="C472">
        <v>30</v>
      </c>
    </row>
    <row r="473" spans="1:3" ht="15.95">
      <c r="A473" s="4" t="s">
        <v>25</v>
      </c>
      <c r="B473" t="s">
        <v>44</v>
      </c>
      <c r="C473">
        <v>50</v>
      </c>
    </row>
    <row r="474" spans="1:3" ht="15.95">
      <c r="A474" s="4" t="s">
        <v>25</v>
      </c>
      <c r="B474" t="s">
        <v>44</v>
      </c>
      <c r="C474">
        <v>60</v>
      </c>
    </row>
    <row r="475" spans="1:3" ht="15.95">
      <c r="A475" s="4" t="s">
        <v>25</v>
      </c>
      <c r="B475" t="s">
        <v>44</v>
      </c>
      <c r="C475">
        <v>100</v>
      </c>
    </row>
    <row r="476" spans="1:3" ht="15.95">
      <c r="A476" s="4" t="s">
        <v>25</v>
      </c>
      <c r="B476" t="s">
        <v>44</v>
      </c>
      <c r="C476">
        <v>110</v>
      </c>
    </row>
    <row r="477" spans="1:3" ht="15.95">
      <c r="A477" s="4" t="s">
        <v>25</v>
      </c>
      <c r="B477" t="s">
        <v>44</v>
      </c>
      <c r="C477">
        <v>140</v>
      </c>
    </row>
    <row r="478" spans="1:3" ht="15.95">
      <c r="A478" s="4" t="s">
        <v>25</v>
      </c>
      <c r="B478" t="s">
        <v>44</v>
      </c>
      <c r="C478">
        <v>150</v>
      </c>
    </row>
    <row r="479" spans="1:3" ht="15.95">
      <c r="A479" s="4" t="s">
        <v>25</v>
      </c>
      <c r="B479" t="s">
        <v>44</v>
      </c>
      <c r="C479">
        <v>170</v>
      </c>
    </row>
    <row r="480" spans="1:3" ht="15.95">
      <c r="A480" s="4" t="s">
        <v>25</v>
      </c>
      <c r="B480" t="s">
        <v>44</v>
      </c>
      <c r="C480">
        <v>180</v>
      </c>
    </row>
    <row r="481" spans="1:4" ht="15.95">
      <c r="A481" s="4" t="s">
        <v>25</v>
      </c>
      <c r="B481" t="s">
        <v>44</v>
      </c>
      <c r="C481">
        <v>190</v>
      </c>
    </row>
    <row r="482" spans="1:4" ht="15.95">
      <c r="A482" s="4" t="s">
        <v>25</v>
      </c>
      <c r="B482" t="s">
        <v>44</v>
      </c>
      <c r="C482">
        <v>230</v>
      </c>
    </row>
    <row r="483" spans="1:4" ht="15.95">
      <c r="A483" s="4" t="s">
        <v>25</v>
      </c>
      <c r="B483" t="s">
        <v>44</v>
      </c>
      <c r="C483">
        <v>240</v>
      </c>
    </row>
    <row r="484" spans="1:4" ht="15.95">
      <c r="A484" s="4" t="s">
        <v>25</v>
      </c>
      <c r="B484" t="s">
        <v>44</v>
      </c>
      <c r="C484">
        <v>270</v>
      </c>
    </row>
    <row r="485" spans="1:4" ht="15.95">
      <c r="A485" s="4" t="s">
        <v>25</v>
      </c>
      <c r="B485" t="s">
        <v>44</v>
      </c>
      <c r="C485">
        <v>290</v>
      </c>
    </row>
    <row r="486" spans="1:4" ht="15.95">
      <c r="A486" s="4" t="s">
        <v>25</v>
      </c>
      <c r="B486" t="s">
        <v>44</v>
      </c>
      <c r="C486">
        <v>310</v>
      </c>
    </row>
    <row r="488" spans="1:4" ht="15.95">
      <c r="A488" s="5" t="s">
        <v>48</v>
      </c>
      <c r="B488" s="1" t="s">
        <v>49</v>
      </c>
      <c r="C488">
        <v>10</v>
      </c>
      <c r="D488" t="s">
        <v>51</v>
      </c>
    </row>
    <row r="489" spans="1:4" ht="15.95">
      <c r="A489" s="5" t="s">
        <v>48</v>
      </c>
      <c r="B489" s="1" t="s">
        <v>49</v>
      </c>
      <c r="C489">
        <v>160</v>
      </c>
      <c r="D489" t="s">
        <v>51</v>
      </c>
    </row>
    <row r="490" spans="1:4" ht="15.95">
      <c r="A490" s="5" t="s">
        <v>48</v>
      </c>
      <c r="B490" s="1" t="s">
        <v>49</v>
      </c>
      <c r="C490">
        <v>170</v>
      </c>
      <c r="D490" t="s">
        <v>51</v>
      </c>
    </row>
    <row r="491" spans="1:4" ht="15.95">
      <c r="A491" s="5" t="s">
        <v>48</v>
      </c>
      <c r="B491" s="1" t="s">
        <v>49</v>
      </c>
      <c r="C491">
        <v>180</v>
      </c>
    </row>
    <row r="492" spans="1:4" ht="15.95">
      <c r="A492" s="5" t="s">
        <v>48</v>
      </c>
      <c r="B492" s="1" t="s">
        <v>49</v>
      </c>
      <c r="C492">
        <v>210</v>
      </c>
    </row>
    <row r="493" spans="1:4" ht="15.95">
      <c r="A493" s="5" t="s">
        <v>48</v>
      </c>
      <c r="B493" s="1" t="s">
        <v>49</v>
      </c>
      <c r="C493">
        <v>230</v>
      </c>
    </row>
    <row r="494" spans="1:4" ht="15.95">
      <c r="A494" s="5" t="s">
        <v>48</v>
      </c>
      <c r="B494" s="1" t="s">
        <v>49</v>
      </c>
      <c r="C494">
        <v>240</v>
      </c>
    </row>
    <row r="495" spans="1:4" ht="15.95">
      <c r="A495" s="5" t="s">
        <v>48</v>
      </c>
      <c r="B495" s="1" t="s">
        <v>49</v>
      </c>
      <c r="C495">
        <v>260</v>
      </c>
    </row>
    <row r="496" spans="1:4" ht="15.95">
      <c r="A496" s="5" t="s">
        <v>48</v>
      </c>
      <c r="B496" s="1" t="s">
        <v>49</v>
      </c>
      <c r="C496">
        <v>270</v>
      </c>
    </row>
    <row r="497" spans="1:3" ht="15.95">
      <c r="A497" s="5" t="s">
        <v>48</v>
      </c>
      <c r="B497" s="1" t="s">
        <v>49</v>
      </c>
      <c r="C497">
        <v>280</v>
      </c>
    </row>
    <row r="498" spans="1:3" ht="15.95">
      <c r="A498" s="5" t="s">
        <v>48</v>
      </c>
      <c r="B498" s="1" t="s">
        <v>49</v>
      </c>
      <c r="C498">
        <v>290</v>
      </c>
    </row>
    <row r="499" spans="1:3" ht="15.95">
      <c r="A499" s="5" t="s">
        <v>48</v>
      </c>
      <c r="B499" s="1" t="s">
        <v>49</v>
      </c>
      <c r="C499">
        <v>300</v>
      </c>
    </row>
    <row r="500" spans="1:3" ht="15.95">
      <c r="A500" s="5" t="s">
        <v>48</v>
      </c>
      <c r="B500" s="1" t="s">
        <v>49</v>
      </c>
      <c r="C500">
        <v>320</v>
      </c>
    </row>
    <row r="501" spans="1:3" ht="15.95">
      <c r="A501" s="5" t="s">
        <v>48</v>
      </c>
      <c r="B501" s="1" t="s">
        <v>49</v>
      </c>
      <c r="C501">
        <v>330</v>
      </c>
    </row>
    <row r="503" spans="1:3" ht="15.95">
      <c r="A503" s="4" t="s">
        <v>48</v>
      </c>
      <c r="B503" t="s">
        <v>55</v>
      </c>
      <c r="C503">
        <v>0</v>
      </c>
    </row>
    <row r="504" spans="1:3" ht="15.95">
      <c r="A504" s="4" t="s">
        <v>48</v>
      </c>
      <c r="B504" t="s">
        <v>55</v>
      </c>
      <c r="C504">
        <v>20</v>
      </c>
    </row>
    <row r="505" spans="1:3" ht="15.95">
      <c r="A505" s="4" t="s">
        <v>48</v>
      </c>
      <c r="B505" t="s">
        <v>55</v>
      </c>
      <c r="C505">
        <v>50</v>
      </c>
    </row>
    <row r="506" spans="1:3" ht="15.95">
      <c r="A506" s="4" t="s">
        <v>48</v>
      </c>
      <c r="B506" t="s">
        <v>55</v>
      </c>
      <c r="C506">
        <v>60</v>
      </c>
    </row>
    <row r="507" spans="1:3" ht="15.95">
      <c r="A507" s="4" t="s">
        <v>48</v>
      </c>
      <c r="B507" t="s">
        <v>55</v>
      </c>
      <c r="C507">
        <v>70</v>
      </c>
    </row>
    <row r="508" spans="1:3" ht="15.95">
      <c r="A508" s="4" t="s">
        <v>48</v>
      </c>
      <c r="B508" t="s">
        <v>55</v>
      </c>
      <c r="C508">
        <v>80</v>
      </c>
    </row>
    <row r="509" spans="1:3" ht="15.95">
      <c r="A509" s="4" t="s">
        <v>48</v>
      </c>
      <c r="B509" t="s">
        <v>55</v>
      </c>
      <c r="C509">
        <v>90</v>
      </c>
    </row>
    <row r="510" spans="1:3" ht="15.95">
      <c r="A510" s="4" t="s">
        <v>48</v>
      </c>
      <c r="B510" t="s">
        <v>55</v>
      </c>
      <c r="C510">
        <v>160</v>
      </c>
    </row>
    <row r="511" spans="1:3" ht="15.95">
      <c r="A511" s="4" t="s">
        <v>48</v>
      </c>
      <c r="B511" t="s">
        <v>55</v>
      </c>
      <c r="C511">
        <v>190</v>
      </c>
    </row>
    <row r="512" spans="1:3" ht="15.95">
      <c r="A512" s="4" t="s">
        <v>48</v>
      </c>
      <c r="B512" t="s">
        <v>55</v>
      </c>
      <c r="C512">
        <v>210</v>
      </c>
    </row>
    <row r="513" spans="1:3" ht="15.95">
      <c r="A513" s="4" t="s">
        <v>48</v>
      </c>
      <c r="B513" t="s">
        <v>55</v>
      </c>
      <c r="C513">
        <v>240</v>
      </c>
    </row>
    <row r="514" spans="1:3" ht="15.95">
      <c r="A514" s="4" t="s">
        <v>48</v>
      </c>
      <c r="B514" t="s">
        <v>55</v>
      </c>
      <c r="C514">
        <v>270</v>
      </c>
    </row>
    <row r="515" spans="1:3" ht="15.95">
      <c r="A515" s="4" t="s">
        <v>48</v>
      </c>
      <c r="B515" t="s">
        <v>55</v>
      </c>
      <c r="C515">
        <v>280</v>
      </c>
    </row>
    <row r="516" spans="1:3" ht="15.95">
      <c r="A516" s="4" t="s">
        <v>48</v>
      </c>
      <c r="B516" t="s">
        <v>55</v>
      </c>
      <c r="C516">
        <v>290</v>
      </c>
    </row>
    <row r="517" spans="1:3" ht="15.95">
      <c r="A517" s="4" t="s">
        <v>48</v>
      </c>
      <c r="B517" t="s">
        <v>55</v>
      </c>
      <c r="C517">
        <v>300</v>
      </c>
    </row>
    <row r="518" spans="1:3" ht="15.95">
      <c r="A518" s="4" t="s">
        <v>48</v>
      </c>
      <c r="B518" t="s">
        <v>55</v>
      </c>
      <c r="C518">
        <v>320</v>
      </c>
    </row>
    <row r="519" spans="1:3" ht="15.95">
      <c r="A519" s="4" t="s">
        <v>48</v>
      </c>
      <c r="B519" t="s">
        <v>55</v>
      </c>
      <c r="C519">
        <v>330</v>
      </c>
    </row>
    <row r="521" spans="1:3" ht="15.95">
      <c r="A521" s="5" t="s">
        <v>59</v>
      </c>
      <c r="B521" s="1" t="s">
        <v>60</v>
      </c>
      <c r="C521">
        <v>0</v>
      </c>
    </row>
    <row r="522" spans="1:3" ht="15.95">
      <c r="A522" s="5" t="s">
        <v>59</v>
      </c>
      <c r="B522" s="1" t="s">
        <v>60</v>
      </c>
      <c r="C522">
        <v>10</v>
      </c>
    </row>
    <row r="523" spans="1:3" ht="15.95">
      <c r="A523" s="5" t="s">
        <v>59</v>
      </c>
      <c r="B523" s="1" t="s">
        <v>60</v>
      </c>
      <c r="C523">
        <v>60</v>
      </c>
    </row>
    <row r="524" spans="1:3" ht="15.95">
      <c r="A524" s="5" t="s">
        <v>59</v>
      </c>
      <c r="B524" s="1" t="s">
        <v>60</v>
      </c>
      <c r="C524">
        <v>110</v>
      </c>
    </row>
    <row r="525" spans="1:3" ht="15.95">
      <c r="A525" s="5" t="s">
        <v>59</v>
      </c>
      <c r="B525" s="1" t="s">
        <v>60</v>
      </c>
      <c r="C525">
        <v>120</v>
      </c>
    </row>
    <row r="526" spans="1:3" ht="15.95">
      <c r="A526" s="5" t="s">
        <v>59</v>
      </c>
      <c r="B526" s="1" t="s">
        <v>60</v>
      </c>
      <c r="C526">
        <v>130</v>
      </c>
    </row>
    <row r="527" spans="1:3" ht="15.95">
      <c r="A527" s="5" t="s">
        <v>59</v>
      </c>
      <c r="B527" s="1" t="s">
        <v>60</v>
      </c>
      <c r="C527">
        <v>150</v>
      </c>
    </row>
    <row r="528" spans="1:3" ht="15.95">
      <c r="A528" s="5" t="s">
        <v>59</v>
      </c>
      <c r="B528" s="1" t="s">
        <v>60</v>
      </c>
      <c r="C528">
        <v>160</v>
      </c>
    </row>
    <row r="529" spans="1:3" ht="15.95">
      <c r="A529" s="5" t="s">
        <v>59</v>
      </c>
      <c r="B529" s="1" t="s">
        <v>60</v>
      </c>
      <c r="C529">
        <v>210</v>
      </c>
    </row>
    <row r="530" spans="1:3" ht="15.95">
      <c r="A530" s="5" t="s">
        <v>59</v>
      </c>
      <c r="B530" s="1" t="s">
        <v>60</v>
      </c>
      <c r="C530">
        <v>240</v>
      </c>
    </row>
    <row r="531" spans="1:3" ht="15.95">
      <c r="A531" s="5" t="s">
        <v>59</v>
      </c>
      <c r="B531" s="1" t="s">
        <v>60</v>
      </c>
      <c r="C531">
        <v>250</v>
      </c>
    </row>
    <row r="532" spans="1:3" ht="15.95">
      <c r="A532" s="5" t="s">
        <v>59</v>
      </c>
      <c r="B532" s="1" t="s">
        <v>60</v>
      </c>
      <c r="C532">
        <v>270</v>
      </c>
    </row>
    <row r="533" spans="1:3" ht="15.95">
      <c r="A533" s="5" t="s">
        <v>59</v>
      </c>
      <c r="B533" s="1" t="s">
        <v>60</v>
      </c>
      <c r="C533">
        <v>280</v>
      </c>
    </row>
    <row r="534" spans="1:3" ht="15.95">
      <c r="A534" s="5" t="s">
        <v>59</v>
      </c>
      <c r="B534" s="1" t="s">
        <v>60</v>
      </c>
      <c r="C534">
        <v>300</v>
      </c>
    </row>
    <row r="535" spans="1:3" ht="15.95">
      <c r="A535" s="5" t="s">
        <v>59</v>
      </c>
      <c r="B535" s="1" t="s">
        <v>60</v>
      </c>
      <c r="C535">
        <v>320</v>
      </c>
    </row>
    <row r="536" spans="1:3" ht="15.95">
      <c r="A536" s="5" t="s">
        <v>59</v>
      </c>
      <c r="B536" s="1" t="s">
        <v>60</v>
      </c>
      <c r="C536">
        <v>330</v>
      </c>
    </row>
    <row r="538" spans="1:3" ht="15.95">
      <c r="A538" s="4" t="s">
        <v>59</v>
      </c>
      <c r="B538" t="s">
        <v>61</v>
      </c>
      <c r="C538">
        <v>10</v>
      </c>
    </row>
    <row r="539" spans="1:3" ht="15.95">
      <c r="A539" s="4" t="s">
        <v>59</v>
      </c>
      <c r="B539" t="s">
        <v>61</v>
      </c>
      <c r="C539">
        <v>30</v>
      </c>
    </row>
    <row r="540" spans="1:3" ht="15.95">
      <c r="A540" s="4" t="s">
        <v>59</v>
      </c>
      <c r="B540" t="s">
        <v>61</v>
      </c>
      <c r="C540">
        <v>50</v>
      </c>
    </row>
    <row r="541" spans="1:3" ht="15.95">
      <c r="A541" s="4" t="s">
        <v>59</v>
      </c>
      <c r="B541" t="s">
        <v>61</v>
      </c>
      <c r="C541">
        <v>60</v>
      </c>
    </row>
    <row r="542" spans="1:3" ht="15.95">
      <c r="A542" s="4" t="s">
        <v>59</v>
      </c>
      <c r="B542" t="s">
        <v>61</v>
      </c>
      <c r="C542">
        <v>70</v>
      </c>
    </row>
    <row r="543" spans="1:3" ht="15.95">
      <c r="A543" s="4" t="s">
        <v>59</v>
      </c>
      <c r="B543" t="s">
        <v>61</v>
      </c>
      <c r="C543">
        <v>90</v>
      </c>
    </row>
    <row r="544" spans="1:3" ht="15.95">
      <c r="A544" s="4" t="s">
        <v>59</v>
      </c>
      <c r="B544" t="s">
        <v>61</v>
      </c>
      <c r="C544">
        <v>110</v>
      </c>
    </row>
    <row r="545" spans="1:4" ht="15.95">
      <c r="A545" s="4" t="s">
        <v>59</v>
      </c>
      <c r="B545" t="s">
        <v>61</v>
      </c>
      <c r="C545">
        <v>130</v>
      </c>
    </row>
    <row r="546" spans="1:4" ht="15.95">
      <c r="A546" s="4" t="s">
        <v>59</v>
      </c>
      <c r="B546" t="s">
        <v>61</v>
      </c>
      <c r="C546">
        <v>140</v>
      </c>
    </row>
    <row r="547" spans="1:4" ht="15.95">
      <c r="A547" s="4" t="s">
        <v>59</v>
      </c>
      <c r="B547" t="s">
        <v>61</v>
      </c>
      <c r="C547">
        <v>150</v>
      </c>
    </row>
    <row r="548" spans="1:4" ht="15.95">
      <c r="A548" s="4" t="s">
        <v>59</v>
      </c>
      <c r="B548" t="s">
        <v>61</v>
      </c>
      <c r="C548">
        <v>160</v>
      </c>
    </row>
    <row r="549" spans="1:4" ht="15.95">
      <c r="A549" s="4" t="s">
        <v>59</v>
      </c>
      <c r="B549" t="s">
        <v>61</v>
      </c>
      <c r="C549">
        <v>190</v>
      </c>
    </row>
    <row r="550" spans="1:4" ht="15.95">
      <c r="A550" s="4" t="s">
        <v>59</v>
      </c>
      <c r="B550" t="s">
        <v>61</v>
      </c>
      <c r="C550">
        <v>240</v>
      </c>
    </row>
    <row r="551" spans="1:4" ht="15.95">
      <c r="A551" s="4" t="s">
        <v>59</v>
      </c>
      <c r="B551" t="s">
        <v>61</v>
      </c>
      <c r="C551">
        <v>290</v>
      </c>
    </row>
    <row r="552" spans="1:4" ht="15.95">
      <c r="A552" s="4" t="s">
        <v>59</v>
      </c>
      <c r="B552" t="s">
        <v>61</v>
      </c>
      <c r="C552">
        <v>330</v>
      </c>
    </row>
    <row r="554" spans="1:4" ht="15.95">
      <c r="A554" s="5" t="s">
        <v>59</v>
      </c>
      <c r="B554" s="1" t="s">
        <v>62</v>
      </c>
      <c r="C554" s="7">
        <v>40</v>
      </c>
      <c r="D554" s="7"/>
    </row>
    <row r="555" spans="1:4" ht="15.95">
      <c r="A555" s="5" t="s">
        <v>59</v>
      </c>
      <c r="B555" s="1" t="s">
        <v>62</v>
      </c>
      <c r="C555" s="7">
        <v>50</v>
      </c>
      <c r="D555" s="7"/>
    </row>
    <row r="556" spans="1:4" ht="15.95">
      <c r="A556" s="5" t="s">
        <v>59</v>
      </c>
      <c r="B556" s="1" t="s">
        <v>62</v>
      </c>
      <c r="C556" s="7">
        <v>70</v>
      </c>
      <c r="D556" s="7"/>
    </row>
    <row r="557" spans="1:4" ht="15.95">
      <c r="A557" s="5" t="s">
        <v>59</v>
      </c>
      <c r="B557" s="1" t="s">
        <v>62</v>
      </c>
      <c r="C557" s="7">
        <v>80</v>
      </c>
      <c r="D557" s="7"/>
    </row>
    <row r="558" spans="1:4" ht="15.95">
      <c r="A558" s="5" t="s">
        <v>59</v>
      </c>
      <c r="B558" s="1" t="s">
        <v>62</v>
      </c>
      <c r="C558" s="7">
        <v>90</v>
      </c>
      <c r="D558" s="7"/>
    </row>
    <row r="559" spans="1:4" ht="15.95">
      <c r="A559" s="5" t="s">
        <v>59</v>
      </c>
      <c r="B559" s="1" t="s">
        <v>62</v>
      </c>
      <c r="C559" s="7">
        <v>230</v>
      </c>
      <c r="D559" s="7"/>
    </row>
    <row r="560" spans="1:4" ht="15.95">
      <c r="A560" s="5" t="s">
        <v>59</v>
      </c>
      <c r="B560" s="1" t="s">
        <v>62</v>
      </c>
      <c r="C560" s="7">
        <v>310</v>
      </c>
      <c r="D560" s="7"/>
    </row>
    <row r="562" spans="1:3" ht="15.95">
      <c r="A562" s="4" t="s">
        <v>64</v>
      </c>
      <c r="B562" t="s">
        <v>65</v>
      </c>
      <c r="C562">
        <v>0</v>
      </c>
    </row>
    <row r="563" spans="1:3" ht="15.95">
      <c r="A563" s="4" t="s">
        <v>64</v>
      </c>
      <c r="B563" t="s">
        <v>65</v>
      </c>
      <c r="C563">
        <v>10</v>
      </c>
    </row>
    <row r="564" spans="1:3" ht="15.95">
      <c r="A564" s="4" t="s">
        <v>64</v>
      </c>
      <c r="B564" t="s">
        <v>65</v>
      </c>
      <c r="C564">
        <v>20</v>
      </c>
    </row>
    <row r="565" spans="1:3" ht="15.95">
      <c r="A565" s="4" t="s">
        <v>64</v>
      </c>
      <c r="B565" t="s">
        <v>65</v>
      </c>
      <c r="C565">
        <v>30</v>
      </c>
    </row>
    <row r="566" spans="1:3" ht="15.95">
      <c r="A566" s="4" t="s">
        <v>64</v>
      </c>
      <c r="B566" t="s">
        <v>65</v>
      </c>
      <c r="C566">
        <v>40</v>
      </c>
    </row>
    <row r="567" spans="1:3" ht="15.95">
      <c r="A567" s="4" t="s">
        <v>64</v>
      </c>
      <c r="B567" t="s">
        <v>65</v>
      </c>
      <c r="C567">
        <v>50</v>
      </c>
    </row>
    <row r="568" spans="1:3" ht="15.95">
      <c r="A568" s="4" t="s">
        <v>64</v>
      </c>
      <c r="B568" t="s">
        <v>65</v>
      </c>
      <c r="C568">
        <v>60</v>
      </c>
    </row>
    <row r="569" spans="1:3" ht="15.95">
      <c r="A569" s="4" t="s">
        <v>64</v>
      </c>
      <c r="B569" t="s">
        <v>65</v>
      </c>
      <c r="C569">
        <v>70</v>
      </c>
    </row>
    <row r="570" spans="1:3" ht="15.95">
      <c r="A570" s="4" t="s">
        <v>64</v>
      </c>
      <c r="B570" t="s">
        <v>65</v>
      </c>
      <c r="C570">
        <v>80</v>
      </c>
    </row>
    <row r="571" spans="1:3" ht="15.95">
      <c r="A571" s="4" t="s">
        <v>64</v>
      </c>
      <c r="B571" t="s">
        <v>65</v>
      </c>
      <c r="C571">
        <v>90</v>
      </c>
    </row>
    <row r="572" spans="1:3" ht="15.95">
      <c r="A572" s="4" t="s">
        <v>64</v>
      </c>
      <c r="B572" t="s">
        <v>65</v>
      </c>
      <c r="C572">
        <v>100</v>
      </c>
    </row>
    <row r="573" spans="1:3" ht="15.95">
      <c r="A573" s="4" t="s">
        <v>64</v>
      </c>
      <c r="B573" t="s">
        <v>65</v>
      </c>
      <c r="C573">
        <v>110</v>
      </c>
    </row>
    <row r="574" spans="1:3" ht="15.95">
      <c r="A574" s="4" t="s">
        <v>64</v>
      </c>
      <c r="B574" t="s">
        <v>65</v>
      </c>
      <c r="C574">
        <v>120</v>
      </c>
    </row>
    <row r="575" spans="1:3" ht="15.95">
      <c r="A575" s="4" t="s">
        <v>64</v>
      </c>
      <c r="B575" t="s">
        <v>65</v>
      </c>
      <c r="C575">
        <v>130</v>
      </c>
    </row>
    <row r="576" spans="1:3" ht="15.95">
      <c r="A576" s="4" t="s">
        <v>64</v>
      </c>
      <c r="B576" t="s">
        <v>65</v>
      </c>
      <c r="C576">
        <v>140</v>
      </c>
    </row>
    <row r="577" spans="1:3" ht="15.95">
      <c r="A577" s="4" t="s">
        <v>64</v>
      </c>
      <c r="B577" t="s">
        <v>65</v>
      </c>
      <c r="C577">
        <v>150</v>
      </c>
    </row>
    <row r="578" spans="1:3" ht="15.95">
      <c r="A578" s="4" t="s">
        <v>64</v>
      </c>
      <c r="B578" t="s">
        <v>65</v>
      </c>
      <c r="C578">
        <v>170</v>
      </c>
    </row>
    <row r="579" spans="1:3" ht="15.95">
      <c r="A579" s="4" t="s">
        <v>64</v>
      </c>
      <c r="B579" t="s">
        <v>65</v>
      </c>
      <c r="C579">
        <v>180</v>
      </c>
    </row>
    <row r="580" spans="1:3" ht="15.95">
      <c r="A580" s="4" t="s">
        <v>64</v>
      </c>
      <c r="B580" t="s">
        <v>65</v>
      </c>
      <c r="C580">
        <v>190</v>
      </c>
    </row>
    <row r="581" spans="1:3" ht="15.95">
      <c r="A581" s="4" t="s">
        <v>64</v>
      </c>
      <c r="B581" t="s">
        <v>65</v>
      </c>
      <c r="C581">
        <v>200</v>
      </c>
    </row>
    <row r="582" spans="1:3" ht="15.95">
      <c r="A582" s="4" t="s">
        <v>64</v>
      </c>
      <c r="B582" t="s">
        <v>65</v>
      </c>
      <c r="C582">
        <v>210</v>
      </c>
    </row>
    <row r="583" spans="1:3" ht="15.95">
      <c r="A583" s="4" t="s">
        <v>64</v>
      </c>
      <c r="B583" t="s">
        <v>65</v>
      </c>
      <c r="C583">
        <v>220</v>
      </c>
    </row>
    <row r="584" spans="1:3" ht="15.95">
      <c r="A584" s="4" t="s">
        <v>64</v>
      </c>
      <c r="B584" t="s">
        <v>65</v>
      </c>
      <c r="C584">
        <v>240</v>
      </c>
    </row>
    <row r="585" spans="1:3" ht="15.95">
      <c r="A585" s="4" t="s">
        <v>64</v>
      </c>
      <c r="B585" t="s">
        <v>65</v>
      </c>
      <c r="C585">
        <v>250</v>
      </c>
    </row>
    <row r="586" spans="1:3" ht="15.95">
      <c r="A586" s="4" t="s">
        <v>64</v>
      </c>
      <c r="B586" t="s">
        <v>65</v>
      </c>
      <c r="C586">
        <v>260</v>
      </c>
    </row>
    <row r="587" spans="1:3" ht="15.95">
      <c r="A587" s="4" t="s">
        <v>64</v>
      </c>
      <c r="B587" t="s">
        <v>65</v>
      </c>
      <c r="C587">
        <v>270</v>
      </c>
    </row>
    <row r="588" spans="1:3" ht="15.95">
      <c r="A588" s="4" t="s">
        <v>64</v>
      </c>
      <c r="B588" t="s">
        <v>65</v>
      </c>
      <c r="C588">
        <v>280</v>
      </c>
    </row>
    <row r="589" spans="1:3" ht="15.95">
      <c r="A589" s="4" t="s">
        <v>64</v>
      </c>
      <c r="B589" t="s">
        <v>65</v>
      </c>
      <c r="C589">
        <v>290</v>
      </c>
    </row>
    <row r="590" spans="1:3" ht="15.95">
      <c r="A590" s="4" t="s">
        <v>64</v>
      </c>
      <c r="B590" t="s">
        <v>65</v>
      </c>
      <c r="C590">
        <v>300</v>
      </c>
    </row>
    <row r="591" spans="1:3" ht="15.95">
      <c r="A591" s="4" t="s">
        <v>64</v>
      </c>
      <c r="B591" t="s">
        <v>65</v>
      </c>
      <c r="C591">
        <v>310</v>
      </c>
    </row>
    <row r="592" spans="1:3" ht="15.95">
      <c r="A592" s="4" t="s">
        <v>64</v>
      </c>
      <c r="B592" t="s">
        <v>65</v>
      </c>
      <c r="C592">
        <v>320</v>
      </c>
    </row>
    <row r="593" spans="1:3" ht="15.95">
      <c r="A593" s="4" t="s">
        <v>64</v>
      </c>
      <c r="B593" t="s">
        <v>65</v>
      </c>
      <c r="C593">
        <v>330</v>
      </c>
    </row>
    <row r="595" spans="1:3" ht="15.95">
      <c r="A595" s="5" t="s">
        <v>64</v>
      </c>
      <c r="B595" s="1" t="s">
        <v>66</v>
      </c>
      <c r="C595">
        <v>0</v>
      </c>
    </row>
    <row r="596" spans="1:3" ht="15.95">
      <c r="A596" s="5" t="s">
        <v>64</v>
      </c>
      <c r="B596" s="1" t="s">
        <v>66</v>
      </c>
      <c r="C596">
        <v>10</v>
      </c>
    </row>
    <row r="597" spans="1:3" ht="15.95">
      <c r="A597" s="5" t="s">
        <v>64</v>
      </c>
      <c r="B597" s="1" t="s">
        <v>66</v>
      </c>
      <c r="C597">
        <v>20</v>
      </c>
    </row>
    <row r="598" spans="1:3" ht="15.95">
      <c r="A598" s="5" t="s">
        <v>64</v>
      </c>
      <c r="B598" s="1" t="s">
        <v>66</v>
      </c>
      <c r="C598">
        <v>30</v>
      </c>
    </row>
    <row r="599" spans="1:3" ht="15.95">
      <c r="A599" s="5" t="s">
        <v>64</v>
      </c>
      <c r="B599" s="1" t="s">
        <v>66</v>
      </c>
      <c r="C599">
        <v>40</v>
      </c>
    </row>
    <row r="600" spans="1:3" ht="15.95">
      <c r="A600" s="5" t="s">
        <v>64</v>
      </c>
      <c r="B600" s="1" t="s">
        <v>66</v>
      </c>
      <c r="C600">
        <v>50</v>
      </c>
    </row>
    <row r="601" spans="1:3" ht="15.95">
      <c r="A601" s="5" t="s">
        <v>64</v>
      </c>
      <c r="B601" s="1" t="s">
        <v>66</v>
      </c>
      <c r="C601">
        <v>60</v>
      </c>
    </row>
    <row r="602" spans="1:3" ht="15.95">
      <c r="A602" s="5" t="s">
        <v>64</v>
      </c>
      <c r="B602" s="1" t="s">
        <v>66</v>
      </c>
      <c r="C602">
        <v>70</v>
      </c>
    </row>
    <row r="603" spans="1:3" ht="15.95">
      <c r="A603" s="5" t="s">
        <v>64</v>
      </c>
      <c r="B603" s="1" t="s">
        <v>66</v>
      </c>
      <c r="C603">
        <v>80</v>
      </c>
    </row>
    <row r="604" spans="1:3" ht="15.95">
      <c r="A604" s="5" t="s">
        <v>64</v>
      </c>
      <c r="B604" s="1" t="s">
        <v>66</v>
      </c>
      <c r="C604">
        <v>90</v>
      </c>
    </row>
    <row r="605" spans="1:3" ht="15.95">
      <c r="A605" s="5" t="s">
        <v>64</v>
      </c>
      <c r="B605" s="1" t="s">
        <v>66</v>
      </c>
      <c r="C605">
        <v>100</v>
      </c>
    </row>
    <row r="606" spans="1:3" ht="15.95">
      <c r="A606" s="5" t="s">
        <v>64</v>
      </c>
      <c r="B606" s="1" t="s">
        <v>66</v>
      </c>
      <c r="C606">
        <v>110</v>
      </c>
    </row>
    <row r="607" spans="1:3" ht="15.95">
      <c r="A607" s="5" t="s">
        <v>64</v>
      </c>
      <c r="B607" s="1" t="s">
        <v>66</v>
      </c>
      <c r="C607">
        <v>120</v>
      </c>
    </row>
    <row r="608" spans="1:3" ht="15.95">
      <c r="A608" s="5" t="s">
        <v>64</v>
      </c>
      <c r="B608" s="1" t="s">
        <v>66</v>
      </c>
      <c r="C608">
        <v>130</v>
      </c>
    </row>
    <row r="609" spans="1:3" ht="15.95">
      <c r="A609" s="5" t="s">
        <v>64</v>
      </c>
      <c r="B609" s="1" t="s">
        <v>66</v>
      </c>
      <c r="C609">
        <v>140</v>
      </c>
    </row>
    <row r="610" spans="1:3" ht="15.95">
      <c r="A610" s="5" t="s">
        <v>64</v>
      </c>
      <c r="B610" s="1" t="s">
        <v>66</v>
      </c>
      <c r="C610">
        <v>150</v>
      </c>
    </row>
    <row r="611" spans="1:3" ht="15.95">
      <c r="A611" s="5" t="s">
        <v>64</v>
      </c>
      <c r="B611" s="1" t="s">
        <v>66</v>
      </c>
      <c r="C611">
        <v>160</v>
      </c>
    </row>
    <row r="612" spans="1:3" ht="15.95">
      <c r="A612" s="5" t="s">
        <v>64</v>
      </c>
      <c r="B612" s="1" t="s">
        <v>66</v>
      </c>
      <c r="C612">
        <v>170</v>
      </c>
    </row>
    <row r="613" spans="1:3" ht="15.95">
      <c r="A613" s="5" t="s">
        <v>64</v>
      </c>
      <c r="B613" s="1" t="s">
        <v>66</v>
      </c>
      <c r="C613">
        <v>180</v>
      </c>
    </row>
    <row r="614" spans="1:3" ht="15.95">
      <c r="A614" s="5" t="s">
        <v>64</v>
      </c>
      <c r="B614" s="1" t="s">
        <v>66</v>
      </c>
      <c r="C614">
        <v>200</v>
      </c>
    </row>
    <row r="615" spans="1:3" ht="15.95">
      <c r="A615" s="5" t="s">
        <v>64</v>
      </c>
      <c r="B615" s="1" t="s">
        <v>66</v>
      </c>
      <c r="C615">
        <v>210</v>
      </c>
    </row>
    <row r="616" spans="1:3" ht="15.95">
      <c r="A616" s="5" t="s">
        <v>64</v>
      </c>
      <c r="B616" s="1" t="s">
        <v>66</v>
      </c>
      <c r="C616">
        <v>220</v>
      </c>
    </row>
    <row r="617" spans="1:3" ht="15.95">
      <c r="A617" s="5" t="s">
        <v>64</v>
      </c>
      <c r="B617" s="1" t="s">
        <v>66</v>
      </c>
      <c r="C617">
        <v>230</v>
      </c>
    </row>
    <row r="618" spans="1:3" ht="15.95">
      <c r="A618" s="5" t="s">
        <v>64</v>
      </c>
      <c r="B618" s="1" t="s">
        <v>66</v>
      </c>
      <c r="C618">
        <v>240</v>
      </c>
    </row>
    <row r="619" spans="1:3" ht="15.95">
      <c r="A619" s="5" t="s">
        <v>64</v>
      </c>
      <c r="B619" s="1" t="s">
        <v>66</v>
      </c>
      <c r="C619">
        <v>250</v>
      </c>
    </row>
    <row r="620" spans="1:3" ht="15.95">
      <c r="A620" s="5" t="s">
        <v>64</v>
      </c>
      <c r="B620" s="1" t="s">
        <v>66</v>
      </c>
      <c r="C620">
        <v>260</v>
      </c>
    </row>
    <row r="621" spans="1:3" ht="15.95">
      <c r="A621" s="5" t="s">
        <v>64</v>
      </c>
      <c r="B621" s="1" t="s">
        <v>66</v>
      </c>
      <c r="C621">
        <v>270</v>
      </c>
    </row>
    <row r="622" spans="1:3" ht="15.95">
      <c r="A622" s="5" t="s">
        <v>64</v>
      </c>
      <c r="B622" s="1" t="s">
        <v>66</v>
      </c>
      <c r="C622">
        <v>280</v>
      </c>
    </row>
    <row r="623" spans="1:3" ht="15.95">
      <c r="A623" s="5" t="s">
        <v>64</v>
      </c>
      <c r="B623" s="1" t="s">
        <v>66</v>
      </c>
      <c r="C623">
        <v>290</v>
      </c>
    </row>
    <row r="624" spans="1:3" ht="15.95">
      <c r="A624" s="5" t="s">
        <v>64</v>
      </c>
      <c r="B624" s="1" t="s">
        <v>66</v>
      </c>
      <c r="C624">
        <v>300</v>
      </c>
    </row>
    <row r="625" spans="1:3" ht="15.95">
      <c r="A625" s="5" t="s">
        <v>64</v>
      </c>
      <c r="B625" s="1" t="s">
        <v>66</v>
      </c>
      <c r="C625">
        <v>310</v>
      </c>
    </row>
    <row r="626" spans="1:3" ht="15.95">
      <c r="A626" s="5" t="s">
        <v>64</v>
      </c>
      <c r="B626" s="1" t="s">
        <v>66</v>
      </c>
      <c r="C626">
        <v>320</v>
      </c>
    </row>
    <row r="628" spans="1:3" ht="15.95">
      <c r="A628" s="4" t="s">
        <v>68</v>
      </c>
      <c r="B628" t="s">
        <v>67</v>
      </c>
      <c r="C628">
        <v>10</v>
      </c>
    </row>
    <row r="629" spans="1:3" ht="15.95">
      <c r="A629" s="4" t="s">
        <v>68</v>
      </c>
      <c r="B629" t="s">
        <v>67</v>
      </c>
      <c r="C629">
        <v>40</v>
      </c>
    </row>
    <row r="630" spans="1:3" ht="15.95">
      <c r="A630" s="4" t="s">
        <v>68</v>
      </c>
      <c r="B630" t="s">
        <v>67</v>
      </c>
      <c r="C630">
        <v>70</v>
      </c>
    </row>
    <row r="631" spans="1:3" ht="15.95">
      <c r="A631" s="4" t="s">
        <v>68</v>
      </c>
      <c r="B631" t="s">
        <v>67</v>
      </c>
      <c r="C631">
        <v>80</v>
      </c>
    </row>
    <row r="632" spans="1:3" ht="15.95">
      <c r="A632" s="4" t="s">
        <v>68</v>
      </c>
      <c r="B632" t="s">
        <v>67</v>
      </c>
      <c r="C632">
        <v>100</v>
      </c>
    </row>
    <row r="633" spans="1:3" ht="15.95">
      <c r="A633" s="4" t="s">
        <v>68</v>
      </c>
      <c r="B633" t="s">
        <v>67</v>
      </c>
      <c r="C633">
        <v>110</v>
      </c>
    </row>
    <row r="634" spans="1:3" ht="15.95">
      <c r="A634" s="4" t="s">
        <v>68</v>
      </c>
      <c r="B634" t="s">
        <v>67</v>
      </c>
      <c r="C634">
        <v>120</v>
      </c>
    </row>
    <row r="635" spans="1:3" ht="15.95">
      <c r="A635" s="4" t="s">
        <v>68</v>
      </c>
      <c r="B635" t="s">
        <v>67</v>
      </c>
      <c r="C635">
        <v>130</v>
      </c>
    </row>
    <row r="636" spans="1:3" ht="15.95">
      <c r="A636" s="4" t="s">
        <v>68</v>
      </c>
      <c r="B636" t="s">
        <v>67</v>
      </c>
      <c r="C636">
        <v>140</v>
      </c>
    </row>
    <row r="637" spans="1:3" ht="15.95">
      <c r="A637" s="4" t="s">
        <v>68</v>
      </c>
      <c r="B637" t="s">
        <v>67</v>
      </c>
      <c r="C637">
        <v>150</v>
      </c>
    </row>
    <row r="638" spans="1:3" ht="15.95">
      <c r="A638" s="4" t="s">
        <v>68</v>
      </c>
      <c r="B638" t="s">
        <v>67</v>
      </c>
      <c r="C638">
        <v>160</v>
      </c>
    </row>
    <row r="639" spans="1:3" ht="15.95">
      <c r="A639" s="4" t="s">
        <v>68</v>
      </c>
      <c r="B639" t="s">
        <v>67</v>
      </c>
      <c r="C639">
        <v>190</v>
      </c>
    </row>
    <row r="640" spans="1:3" ht="15.95">
      <c r="A640" s="4" t="s">
        <v>68</v>
      </c>
      <c r="B640" t="s">
        <v>67</v>
      </c>
      <c r="C640">
        <v>210</v>
      </c>
    </row>
    <row r="641" spans="1:3" ht="15.95">
      <c r="A641" s="4" t="s">
        <v>68</v>
      </c>
      <c r="B641" t="s">
        <v>67</v>
      </c>
      <c r="C641">
        <v>230</v>
      </c>
    </row>
    <row r="642" spans="1:3" ht="15.95">
      <c r="A642" s="4" t="s">
        <v>68</v>
      </c>
      <c r="B642" t="s">
        <v>67</v>
      </c>
      <c r="C642">
        <v>270</v>
      </c>
    </row>
    <row r="643" spans="1:3" ht="15.95">
      <c r="A643" s="4" t="s">
        <v>68</v>
      </c>
      <c r="B643" t="s">
        <v>67</v>
      </c>
      <c r="C643">
        <v>280</v>
      </c>
    </row>
    <row r="644" spans="1:3" ht="15.95">
      <c r="A644" s="4" t="s">
        <v>68</v>
      </c>
      <c r="B644" t="s">
        <v>67</v>
      </c>
      <c r="C644">
        <v>290</v>
      </c>
    </row>
    <row r="645" spans="1:3" ht="15.95">
      <c r="A645" s="4" t="s">
        <v>68</v>
      </c>
      <c r="B645" t="s">
        <v>67</v>
      </c>
      <c r="C645">
        <v>300</v>
      </c>
    </row>
    <row r="646" spans="1:3" ht="15.95">
      <c r="A646" s="4" t="s">
        <v>68</v>
      </c>
      <c r="B646" t="s">
        <v>67</v>
      </c>
      <c r="C646">
        <v>320</v>
      </c>
    </row>
    <row r="647" spans="1:3" ht="15.95">
      <c r="A647" s="4" t="s">
        <v>68</v>
      </c>
      <c r="B647" t="s">
        <v>67</v>
      </c>
      <c r="C647">
        <v>330</v>
      </c>
    </row>
    <row r="649" spans="1:3" ht="15.95">
      <c r="A649" s="5" t="s">
        <v>68</v>
      </c>
      <c r="B649" s="1" t="s">
        <v>69</v>
      </c>
      <c r="C649">
        <v>0</v>
      </c>
    </row>
    <row r="650" spans="1:3" ht="15.95">
      <c r="A650" s="5" t="s">
        <v>68</v>
      </c>
      <c r="B650" s="1" t="s">
        <v>69</v>
      </c>
      <c r="C650">
        <v>40</v>
      </c>
    </row>
    <row r="651" spans="1:3" ht="15.95">
      <c r="A651" s="5" t="s">
        <v>68</v>
      </c>
      <c r="B651" s="1" t="s">
        <v>69</v>
      </c>
      <c r="C651">
        <v>50</v>
      </c>
    </row>
    <row r="652" spans="1:3" ht="15.95">
      <c r="A652" s="5" t="s">
        <v>68</v>
      </c>
      <c r="B652" s="1" t="s">
        <v>69</v>
      </c>
      <c r="C652">
        <v>120</v>
      </c>
    </row>
    <row r="653" spans="1:3" ht="15.95">
      <c r="A653" s="5" t="s">
        <v>68</v>
      </c>
      <c r="B653" s="1" t="s">
        <v>69</v>
      </c>
      <c r="C653">
        <v>180</v>
      </c>
    </row>
    <row r="654" spans="1:3" ht="15.95">
      <c r="A654" s="5" t="s">
        <v>68</v>
      </c>
      <c r="B654" s="1" t="s">
        <v>69</v>
      </c>
      <c r="C654">
        <v>190</v>
      </c>
    </row>
    <row r="655" spans="1:3" ht="15.95">
      <c r="A655" s="5" t="s">
        <v>68</v>
      </c>
      <c r="B655" s="1" t="s">
        <v>69</v>
      </c>
      <c r="C655">
        <v>200</v>
      </c>
    </row>
    <row r="656" spans="1:3" ht="15.95">
      <c r="A656" s="5" t="s">
        <v>68</v>
      </c>
      <c r="B656" s="1" t="s">
        <v>69</v>
      </c>
      <c r="C656">
        <v>210</v>
      </c>
    </row>
    <row r="657" spans="1:3" ht="15.95">
      <c r="A657" s="5" t="s">
        <v>68</v>
      </c>
      <c r="B657" s="1" t="s">
        <v>69</v>
      </c>
      <c r="C657">
        <v>220</v>
      </c>
    </row>
    <row r="658" spans="1:3" ht="15.95">
      <c r="A658" s="5" t="s">
        <v>68</v>
      </c>
      <c r="B658" s="1" t="s">
        <v>69</v>
      </c>
      <c r="C658">
        <v>230</v>
      </c>
    </row>
    <row r="659" spans="1:3" ht="15.95">
      <c r="A659" s="5" t="s">
        <v>68</v>
      </c>
      <c r="B659" s="1" t="s">
        <v>69</v>
      </c>
      <c r="C659">
        <v>240</v>
      </c>
    </row>
    <row r="660" spans="1:3" ht="15.95">
      <c r="A660" s="5" t="s">
        <v>68</v>
      </c>
      <c r="B660" s="1" t="s">
        <v>69</v>
      </c>
      <c r="C660">
        <v>250</v>
      </c>
    </row>
    <row r="661" spans="1:3" ht="15.95">
      <c r="A661" s="5" t="s">
        <v>68</v>
      </c>
      <c r="B661" s="1" t="s">
        <v>69</v>
      </c>
      <c r="C661">
        <v>260</v>
      </c>
    </row>
    <row r="662" spans="1:3" ht="15.95">
      <c r="A662" s="5" t="s">
        <v>68</v>
      </c>
      <c r="B662" s="1" t="s">
        <v>69</v>
      </c>
      <c r="C662">
        <v>270</v>
      </c>
    </row>
    <row r="663" spans="1:3" ht="15.95">
      <c r="A663" s="5" t="s">
        <v>68</v>
      </c>
      <c r="B663" s="1" t="s">
        <v>69</v>
      </c>
      <c r="C663">
        <v>280</v>
      </c>
    </row>
    <row r="664" spans="1:3" ht="15.95">
      <c r="A664" s="5" t="s">
        <v>68</v>
      </c>
      <c r="B664" s="1" t="s">
        <v>69</v>
      </c>
      <c r="C664">
        <v>310</v>
      </c>
    </row>
    <row r="665" spans="1:3" ht="15.95">
      <c r="A665" s="5" t="s">
        <v>68</v>
      </c>
      <c r="B665" s="1" t="s">
        <v>69</v>
      </c>
      <c r="C665">
        <v>330</v>
      </c>
    </row>
    <row r="667" spans="1:3" ht="15.95">
      <c r="A667" s="4" t="s">
        <v>71</v>
      </c>
      <c r="B667" t="s">
        <v>72</v>
      </c>
      <c r="C667">
        <v>0</v>
      </c>
    </row>
    <row r="668" spans="1:3" ht="15.95">
      <c r="A668" s="4" t="s">
        <v>71</v>
      </c>
      <c r="B668" t="s">
        <v>72</v>
      </c>
      <c r="C668">
        <v>10</v>
      </c>
    </row>
    <row r="669" spans="1:3" ht="15.95">
      <c r="A669" s="4" t="s">
        <v>71</v>
      </c>
      <c r="B669" t="s">
        <v>72</v>
      </c>
      <c r="C669">
        <v>20</v>
      </c>
    </row>
    <row r="670" spans="1:3" ht="15.95">
      <c r="A670" s="4" t="s">
        <v>71</v>
      </c>
      <c r="B670" t="s">
        <v>72</v>
      </c>
      <c r="C670">
        <v>30</v>
      </c>
    </row>
    <row r="671" spans="1:3" ht="15.95">
      <c r="A671" s="4" t="s">
        <v>71</v>
      </c>
      <c r="B671" t="s">
        <v>72</v>
      </c>
      <c r="C671">
        <v>40</v>
      </c>
    </row>
    <row r="672" spans="1:3" ht="15.95">
      <c r="A672" s="4" t="s">
        <v>71</v>
      </c>
      <c r="B672" t="s">
        <v>72</v>
      </c>
      <c r="C672">
        <v>50</v>
      </c>
    </row>
    <row r="673" spans="1:3" ht="15.95">
      <c r="A673" s="4" t="s">
        <v>71</v>
      </c>
      <c r="B673" t="s">
        <v>72</v>
      </c>
      <c r="C673">
        <v>60</v>
      </c>
    </row>
    <row r="674" spans="1:3" ht="15.95">
      <c r="A674" s="4" t="s">
        <v>71</v>
      </c>
      <c r="B674" t="s">
        <v>72</v>
      </c>
      <c r="C674">
        <v>70</v>
      </c>
    </row>
    <row r="675" spans="1:3" ht="15.95">
      <c r="A675" s="4" t="s">
        <v>71</v>
      </c>
      <c r="B675" t="s">
        <v>72</v>
      </c>
      <c r="C675">
        <v>100</v>
      </c>
    </row>
    <row r="676" spans="1:3" ht="15.95">
      <c r="A676" s="4" t="s">
        <v>71</v>
      </c>
      <c r="B676" t="s">
        <v>72</v>
      </c>
      <c r="C676">
        <v>120</v>
      </c>
    </row>
    <row r="677" spans="1:3" ht="15.95">
      <c r="A677" s="4" t="s">
        <v>71</v>
      </c>
      <c r="B677" t="s">
        <v>72</v>
      </c>
      <c r="C677">
        <v>130</v>
      </c>
    </row>
    <row r="678" spans="1:3" ht="15.95">
      <c r="A678" s="4" t="s">
        <v>71</v>
      </c>
      <c r="B678" t="s">
        <v>72</v>
      </c>
      <c r="C678">
        <v>140</v>
      </c>
    </row>
    <row r="679" spans="1:3" ht="15.95">
      <c r="A679" s="4" t="s">
        <v>71</v>
      </c>
      <c r="B679" t="s">
        <v>72</v>
      </c>
      <c r="C679">
        <v>150</v>
      </c>
    </row>
    <row r="680" spans="1:3" ht="15.95">
      <c r="A680" s="4" t="s">
        <v>71</v>
      </c>
      <c r="B680" t="s">
        <v>72</v>
      </c>
      <c r="C680">
        <v>160</v>
      </c>
    </row>
    <row r="681" spans="1:3" ht="15.95">
      <c r="A681" s="4" t="s">
        <v>71</v>
      </c>
      <c r="B681" t="s">
        <v>72</v>
      </c>
      <c r="C681">
        <v>180</v>
      </c>
    </row>
    <row r="682" spans="1:3" ht="15.95">
      <c r="A682" s="4" t="s">
        <v>71</v>
      </c>
      <c r="B682" t="s">
        <v>72</v>
      </c>
      <c r="C682">
        <v>200</v>
      </c>
    </row>
    <row r="683" spans="1:3" ht="15.95">
      <c r="A683" s="4" t="s">
        <v>71</v>
      </c>
      <c r="B683" t="s">
        <v>72</v>
      </c>
      <c r="C683">
        <v>210</v>
      </c>
    </row>
    <row r="684" spans="1:3" ht="15.95">
      <c r="A684" s="4" t="s">
        <v>71</v>
      </c>
      <c r="B684" t="s">
        <v>72</v>
      </c>
      <c r="C684">
        <v>230</v>
      </c>
    </row>
    <row r="685" spans="1:3" ht="15.95">
      <c r="A685" s="4" t="s">
        <v>71</v>
      </c>
      <c r="B685" t="s">
        <v>72</v>
      </c>
      <c r="C685">
        <v>240</v>
      </c>
    </row>
    <row r="686" spans="1:3" ht="15.95">
      <c r="A686" s="4" t="s">
        <v>71</v>
      </c>
      <c r="B686" t="s">
        <v>72</v>
      </c>
      <c r="C686">
        <v>250</v>
      </c>
    </row>
    <row r="687" spans="1:3" ht="15.95">
      <c r="A687" s="4" t="s">
        <v>71</v>
      </c>
      <c r="B687" t="s">
        <v>72</v>
      </c>
      <c r="C687">
        <v>260</v>
      </c>
    </row>
    <row r="689" spans="1:4" ht="15.95">
      <c r="A689" s="5" t="s">
        <v>71</v>
      </c>
      <c r="B689" s="1" t="s">
        <v>77</v>
      </c>
      <c r="C689">
        <v>80</v>
      </c>
    </row>
    <row r="690" spans="1:4" ht="15.95">
      <c r="A690" s="5" t="s">
        <v>71</v>
      </c>
      <c r="B690" s="1" t="s">
        <v>77</v>
      </c>
      <c r="C690">
        <v>90</v>
      </c>
    </row>
    <row r="691" spans="1:4" ht="15.95">
      <c r="A691" s="5" t="s">
        <v>71</v>
      </c>
      <c r="B691" s="1" t="s">
        <v>77</v>
      </c>
      <c r="C691">
        <v>120</v>
      </c>
    </row>
    <row r="692" spans="1:4" ht="15.95">
      <c r="A692" s="5" t="s">
        <v>71</v>
      </c>
      <c r="B692" s="1" t="s">
        <v>77</v>
      </c>
      <c r="C692">
        <v>190</v>
      </c>
    </row>
    <row r="693" spans="1:4" ht="15.95">
      <c r="A693" s="5" t="s">
        <v>71</v>
      </c>
      <c r="B693" s="1" t="s">
        <v>77</v>
      </c>
      <c r="C693">
        <v>200</v>
      </c>
    </row>
    <row r="694" spans="1:4" ht="15.95">
      <c r="A694" s="5" t="s">
        <v>71</v>
      </c>
      <c r="B694" s="1" t="s">
        <v>77</v>
      </c>
      <c r="C694">
        <v>230</v>
      </c>
    </row>
    <row r="695" spans="1:4" ht="15.95">
      <c r="A695" s="5" t="s">
        <v>71</v>
      </c>
      <c r="B695" s="1" t="s">
        <v>77</v>
      </c>
      <c r="C695">
        <v>300</v>
      </c>
    </row>
    <row r="697" spans="1:4" ht="15.95">
      <c r="A697" s="4" t="s">
        <v>81</v>
      </c>
      <c r="B697" t="s">
        <v>80</v>
      </c>
      <c r="C697" s="7">
        <v>60</v>
      </c>
      <c r="D697" s="7" t="s">
        <v>51</v>
      </c>
    </row>
    <row r="698" spans="1:4" ht="15.95">
      <c r="A698" s="4" t="s">
        <v>81</v>
      </c>
      <c r="B698" t="s">
        <v>80</v>
      </c>
      <c r="C698" s="7">
        <v>90</v>
      </c>
      <c r="D698" s="7"/>
    </row>
    <row r="699" spans="1:4" ht="15.95">
      <c r="A699" s="4" t="s">
        <v>81</v>
      </c>
      <c r="B699" t="s">
        <v>80</v>
      </c>
      <c r="C699" s="7">
        <v>120</v>
      </c>
      <c r="D699" s="7"/>
    </row>
    <row r="700" spans="1:4" ht="15.95">
      <c r="A700" s="4" t="s">
        <v>81</v>
      </c>
      <c r="B700" t="s">
        <v>80</v>
      </c>
      <c r="C700" s="7">
        <v>130</v>
      </c>
      <c r="D700" s="7"/>
    </row>
    <row r="701" spans="1:4" ht="15.95">
      <c r="A701" s="4" t="s">
        <v>81</v>
      </c>
      <c r="B701" t="s">
        <v>80</v>
      </c>
      <c r="C701" s="7">
        <v>140</v>
      </c>
      <c r="D701" s="7"/>
    </row>
    <row r="702" spans="1:4" ht="15.95">
      <c r="A702" s="4" t="s">
        <v>81</v>
      </c>
      <c r="B702" t="s">
        <v>80</v>
      </c>
      <c r="C702" s="7">
        <v>150</v>
      </c>
      <c r="D702" s="7"/>
    </row>
    <row r="703" spans="1:4" ht="15.95">
      <c r="A703" s="4" t="s">
        <v>81</v>
      </c>
      <c r="B703" t="s">
        <v>80</v>
      </c>
      <c r="C703" s="7">
        <v>160</v>
      </c>
      <c r="D703" s="7"/>
    </row>
    <row r="704" spans="1:4" ht="15.95">
      <c r="A704" s="4" t="s">
        <v>81</v>
      </c>
      <c r="B704" t="s">
        <v>80</v>
      </c>
      <c r="C704" s="7">
        <v>170</v>
      </c>
      <c r="D704" s="7"/>
    </row>
    <row r="705" spans="1:4" ht="15.95">
      <c r="A705" s="4" t="s">
        <v>81</v>
      </c>
      <c r="B705" t="s">
        <v>80</v>
      </c>
      <c r="C705" s="7">
        <v>180</v>
      </c>
      <c r="D705" s="7"/>
    </row>
    <row r="706" spans="1:4" ht="15.95">
      <c r="A706" s="4" t="s">
        <v>81</v>
      </c>
      <c r="B706" t="s">
        <v>80</v>
      </c>
      <c r="C706" s="7">
        <v>190</v>
      </c>
      <c r="D706" s="7"/>
    </row>
    <row r="707" spans="1:4" ht="15.95">
      <c r="A707" s="4" t="s">
        <v>81</v>
      </c>
      <c r="B707" t="s">
        <v>80</v>
      </c>
      <c r="C707" s="7">
        <v>200</v>
      </c>
      <c r="D707" s="7"/>
    </row>
    <row r="708" spans="1:4" ht="15.95">
      <c r="A708" s="4" t="s">
        <v>81</v>
      </c>
      <c r="B708" t="s">
        <v>80</v>
      </c>
      <c r="C708" s="7">
        <v>220</v>
      </c>
      <c r="D708" s="7"/>
    </row>
    <row r="709" spans="1:4" ht="15.95">
      <c r="A709" s="4" t="s">
        <v>81</v>
      </c>
      <c r="B709" t="s">
        <v>80</v>
      </c>
      <c r="C709" s="7">
        <v>230</v>
      </c>
      <c r="D709" s="7"/>
    </row>
    <row r="710" spans="1:4" ht="15.95">
      <c r="A710" s="4" t="s">
        <v>81</v>
      </c>
      <c r="B710" t="s">
        <v>80</v>
      </c>
      <c r="C710" s="7">
        <v>240</v>
      </c>
      <c r="D710" s="7"/>
    </row>
    <row r="711" spans="1:4" ht="15.95">
      <c r="A711" s="4" t="s">
        <v>81</v>
      </c>
      <c r="B711" t="s">
        <v>80</v>
      </c>
      <c r="C711" s="7">
        <v>250</v>
      </c>
      <c r="D711" s="7"/>
    </row>
    <row r="712" spans="1:4" ht="15.95">
      <c r="A712" s="4" t="s">
        <v>81</v>
      </c>
      <c r="B712" t="s">
        <v>80</v>
      </c>
      <c r="C712" s="7">
        <v>270</v>
      </c>
      <c r="D712" s="7"/>
    </row>
    <row r="713" spans="1:4" ht="15.95">
      <c r="A713" s="4" t="s">
        <v>81</v>
      </c>
      <c r="B713" t="s">
        <v>80</v>
      </c>
      <c r="C713" s="7">
        <v>300</v>
      </c>
      <c r="D713" s="7"/>
    </row>
    <row r="714" spans="1:4" ht="15.95">
      <c r="A714" s="4" t="s">
        <v>81</v>
      </c>
      <c r="B714" t="s">
        <v>80</v>
      </c>
      <c r="C714" s="7">
        <v>310</v>
      </c>
      <c r="D714" s="7"/>
    </row>
    <row r="716" spans="1:4" ht="15.95">
      <c r="A716" s="5" t="s">
        <v>82</v>
      </c>
      <c r="B716" s="1" t="s">
        <v>83</v>
      </c>
      <c r="C716">
        <v>0</v>
      </c>
    </row>
    <row r="717" spans="1:4" ht="15.95">
      <c r="A717" s="5" t="s">
        <v>82</v>
      </c>
      <c r="B717" s="1" t="s">
        <v>83</v>
      </c>
      <c r="C717">
        <v>10</v>
      </c>
    </row>
    <row r="718" spans="1:4" ht="15.95">
      <c r="A718" s="5" t="s">
        <v>82</v>
      </c>
      <c r="B718" s="1" t="s">
        <v>83</v>
      </c>
      <c r="C718">
        <v>20</v>
      </c>
    </row>
    <row r="719" spans="1:4" ht="15.95">
      <c r="A719" s="5" t="s">
        <v>82</v>
      </c>
      <c r="B719" s="1" t="s">
        <v>83</v>
      </c>
      <c r="C719">
        <v>30</v>
      </c>
    </row>
    <row r="720" spans="1:4" ht="15.95">
      <c r="A720" s="5" t="s">
        <v>82</v>
      </c>
      <c r="B720" s="1" t="s">
        <v>83</v>
      </c>
      <c r="C720">
        <v>70</v>
      </c>
    </row>
    <row r="721" spans="1:3" ht="15.95">
      <c r="A721" s="5" t="s">
        <v>82</v>
      </c>
      <c r="B721" s="1" t="s">
        <v>83</v>
      </c>
      <c r="C721">
        <v>80</v>
      </c>
    </row>
    <row r="722" spans="1:3" ht="15.95">
      <c r="A722" s="5" t="s">
        <v>82</v>
      </c>
      <c r="B722" s="1" t="s">
        <v>83</v>
      </c>
      <c r="C722">
        <v>110</v>
      </c>
    </row>
    <row r="723" spans="1:3" ht="15.95">
      <c r="A723" s="5" t="s">
        <v>82</v>
      </c>
      <c r="B723" s="1" t="s">
        <v>83</v>
      </c>
      <c r="C723">
        <v>120</v>
      </c>
    </row>
    <row r="724" spans="1:3" ht="15.95">
      <c r="A724" s="5" t="s">
        <v>82</v>
      </c>
      <c r="B724" s="1" t="s">
        <v>83</v>
      </c>
      <c r="C724">
        <v>130</v>
      </c>
    </row>
    <row r="725" spans="1:3" ht="15.95">
      <c r="A725" s="5" t="s">
        <v>82</v>
      </c>
      <c r="B725" s="1" t="s">
        <v>83</v>
      </c>
      <c r="C725">
        <v>140</v>
      </c>
    </row>
    <row r="726" spans="1:3" ht="15.95">
      <c r="A726" s="5" t="s">
        <v>82</v>
      </c>
      <c r="B726" s="1" t="s">
        <v>83</v>
      </c>
      <c r="C726">
        <v>170</v>
      </c>
    </row>
    <row r="727" spans="1:3" ht="15.95">
      <c r="A727" s="5" t="s">
        <v>82</v>
      </c>
      <c r="B727" s="1" t="s">
        <v>83</v>
      </c>
      <c r="C727">
        <v>180</v>
      </c>
    </row>
    <row r="728" spans="1:3" ht="15.95">
      <c r="A728" s="5" t="s">
        <v>82</v>
      </c>
      <c r="B728" s="1" t="s">
        <v>83</v>
      </c>
      <c r="C728">
        <v>190</v>
      </c>
    </row>
    <row r="729" spans="1:3" ht="15.95">
      <c r="A729" s="5" t="s">
        <v>82</v>
      </c>
      <c r="B729" s="1" t="s">
        <v>83</v>
      </c>
      <c r="C729">
        <v>230</v>
      </c>
    </row>
    <row r="730" spans="1:3" ht="15.95">
      <c r="A730" s="5" t="s">
        <v>82</v>
      </c>
      <c r="B730" s="1" t="s">
        <v>83</v>
      </c>
      <c r="C730">
        <v>240</v>
      </c>
    </row>
    <row r="731" spans="1:3" ht="15.95">
      <c r="A731" s="5" t="s">
        <v>82</v>
      </c>
      <c r="B731" s="1" t="s">
        <v>83</v>
      </c>
      <c r="C731">
        <v>250</v>
      </c>
    </row>
    <row r="732" spans="1:3" ht="15.95">
      <c r="A732" s="5" t="s">
        <v>82</v>
      </c>
      <c r="B732" s="1" t="s">
        <v>83</v>
      </c>
      <c r="C732">
        <v>260</v>
      </c>
    </row>
    <row r="733" spans="1:3" ht="15.95">
      <c r="A733" s="5" t="s">
        <v>82</v>
      </c>
      <c r="B733" s="1" t="s">
        <v>83</v>
      </c>
      <c r="C733">
        <v>270</v>
      </c>
    </row>
    <row r="734" spans="1:3" ht="15.95">
      <c r="A734" s="5" t="s">
        <v>82</v>
      </c>
      <c r="B734" s="1" t="s">
        <v>83</v>
      </c>
      <c r="C734">
        <v>290</v>
      </c>
    </row>
    <row r="735" spans="1:3" ht="15.95">
      <c r="A735" s="5" t="s">
        <v>82</v>
      </c>
      <c r="B735" s="1" t="s">
        <v>83</v>
      </c>
      <c r="C735">
        <v>330</v>
      </c>
    </row>
    <row r="737" spans="1:3" ht="15.95">
      <c r="A737" s="4" t="s">
        <v>82</v>
      </c>
      <c r="B737" t="s">
        <v>84</v>
      </c>
      <c r="C737">
        <v>0</v>
      </c>
    </row>
    <row r="738" spans="1:3" ht="15.95">
      <c r="A738" s="4" t="s">
        <v>82</v>
      </c>
      <c r="B738" t="s">
        <v>84</v>
      </c>
      <c r="C738">
        <v>40</v>
      </c>
    </row>
    <row r="739" spans="1:3" ht="15.95">
      <c r="A739" s="4" t="s">
        <v>82</v>
      </c>
      <c r="B739" t="s">
        <v>84</v>
      </c>
      <c r="C739">
        <v>50</v>
      </c>
    </row>
    <row r="740" spans="1:3" ht="15.95">
      <c r="A740" s="4" t="s">
        <v>82</v>
      </c>
      <c r="B740" t="s">
        <v>84</v>
      </c>
      <c r="C740">
        <v>90</v>
      </c>
    </row>
    <row r="741" spans="1:3" ht="15.95">
      <c r="A741" s="4" t="s">
        <v>82</v>
      </c>
      <c r="B741" t="s">
        <v>84</v>
      </c>
      <c r="C741">
        <v>110</v>
      </c>
    </row>
    <row r="742" spans="1:3" ht="15.95">
      <c r="A742" s="4" t="s">
        <v>82</v>
      </c>
      <c r="B742" t="s">
        <v>84</v>
      </c>
      <c r="C742">
        <v>140</v>
      </c>
    </row>
    <row r="743" spans="1:3" ht="15.95">
      <c r="A743" s="4" t="s">
        <v>82</v>
      </c>
      <c r="B743" t="s">
        <v>84</v>
      </c>
      <c r="C743">
        <v>200</v>
      </c>
    </row>
    <row r="744" spans="1:3" ht="15.95">
      <c r="A744" s="4" t="s">
        <v>82</v>
      </c>
      <c r="B744" t="s">
        <v>84</v>
      </c>
      <c r="C744">
        <v>220</v>
      </c>
    </row>
    <row r="745" spans="1:3" ht="15.95">
      <c r="A745" s="4" t="s">
        <v>82</v>
      </c>
      <c r="B745" t="s">
        <v>84</v>
      </c>
      <c r="C745">
        <v>270</v>
      </c>
    </row>
    <row r="746" spans="1:3" ht="15.95">
      <c r="A746" s="4" t="s">
        <v>82</v>
      </c>
      <c r="B746" t="s">
        <v>84</v>
      </c>
      <c r="C746">
        <v>280</v>
      </c>
    </row>
    <row r="747" spans="1:3" ht="15.95">
      <c r="A747" s="4" t="s">
        <v>82</v>
      </c>
      <c r="B747" t="s">
        <v>84</v>
      </c>
      <c r="C747">
        <v>290</v>
      </c>
    </row>
    <row r="748" spans="1:3" ht="15.95">
      <c r="A748" s="4" t="s">
        <v>82</v>
      </c>
      <c r="B748" t="s">
        <v>84</v>
      </c>
      <c r="C748">
        <v>320</v>
      </c>
    </row>
    <row r="749" spans="1:3" ht="15.95">
      <c r="A749" s="4" t="s">
        <v>82</v>
      </c>
      <c r="B749" t="s">
        <v>84</v>
      </c>
      <c r="C749">
        <v>330</v>
      </c>
    </row>
    <row r="751" spans="1:3" ht="15.95">
      <c r="A751" s="5" t="s">
        <v>88</v>
      </c>
      <c r="B751" s="1" t="s">
        <v>87</v>
      </c>
      <c r="C751">
        <v>60</v>
      </c>
    </row>
    <row r="752" spans="1:3" ht="15.95">
      <c r="A752" s="5" t="s">
        <v>88</v>
      </c>
      <c r="B752" s="1" t="s">
        <v>87</v>
      </c>
      <c r="C752">
        <v>70</v>
      </c>
    </row>
    <row r="753" spans="1:4" ht="15.95">
      <c r="A753" s="5" t="s">
        <v>88</v>
      </c>
      <c r="B753" s="1" t="s">
        <v>87</v>
      </c>
      <c r="C753">
        <v>320</v>
      </c>
    </row>
    <row r="755" spans="1:4" ht="15.95">
      <c r="A755" s="4" t="s">
        <v>88</v>
      </c>
      <c r="B755" t="s">
        <v>89</v>
      </c>
      <c r="C755">
        <v>40</v>
      </c>
    </row>
    <row r="756" spans="1:4" ht="15.95">
      <c r="A756" s="4" t="s">
        <v>88</v>
      </c>
      <c r="B756" t="s">
        <v>89</v>
      </c>
      <c r="C756">
        <v>80</v>
      </c>
    </row>
    <row r="757" spans="1:4" ht="15.95">
      <c r="A757" s="4" t="s">
        <v>88</v>
      </c>
      <c r="B757" t="s">
        <v>89</v>
      </c>
      <c r="C757">
        <v>190</v>
      </c>
    </row>
    <row r="758" spans="1:4" ht="15.95">
      <c r="A758" s="4" t="s">
        <v>88</v>
      </c>
      <c r="B758" t="s">
        <v>89</v>
      </c>
      <c r="C758">
        <v>200</v>
      </c>
    </row>
    <row r="759" spans="1:4" ht="15.95">
      <c r="A759" s="4" t="s">
        <v>88</v>
      </c>
      <c r="B759" t="s">
        <v>89</v>
      </c>
      <c r="C759">
        <v>240</v>
      </c>
    </row>
    <row r="761" spans="1:4" ht="15.95">
      <c r="A761" s="5" t="s">
        <v>90</v>
      </c>
      <c r="B761" s="1" t="s">
        <v>91</v>
      </c>
      <c r="C761">
        <v>0</v>
      </c>
      <c r="D761" t="s">
        <v>51</v>
      </c>
    </row>
    <row r="762" spans="1:4" ht="15.95">
      <c r="A762" s="5" t="s">
        <v>90</v>
      </c>
      <c r="B762" s="1" t="s">
        <v>91</v>
      </c>
      <c r="C762">
        <v>40</v>
      </c>
    </row>
    <row r="763" spans="1:4" ht="15.95">
      <c r="A763" s="5" t="s">
        <v>90</v>
      </c>
      <c r="B763" s="1" t="s">
        <v>91</v>
      </c>
      <c r="C763">
        <v>80</v>
      </c>
    </row>
    <row r="764" spans="1:4" ht="15.95">
      <c r="A764" s="5" t="s">
        <v>90</v>
      </c>
      <c r="B764" s="1" t="s">
        <v>91</v>
      </c>
      <c r="C764">
        <v>110</v>
      </c>
    </row>
    <row r="765" spans="1:4" ht="15.95">
      <c r="A765" s="5" t="s">
        <v>90</v>
      </c>
      <c r="B765" s="1" t="s">
        <v>91</v>
      </c>
      <c r="C765">
        <v>150</v>
      </c>
    </row>
    <row r="766" spans="1:4" ht="15.95">
      <c r="A766" s="5" t="s">
        <v>90</v>
      </c>
      <c r="B766" s="1" t="s">
        <v>91</v>
      </c>
      <c r="C766">
        <v>170</v>
      </c>
    </row>
    <row r="767" spans="1:4" ht="15.95">
      <c r="A767" s="5" t="s">
        <v>90</v>
      </c>
      <c r="B767" s="1" t="s">
        <v>91</v>
      </c>
      <c r="C767">
        <v>180</v>
      </c>
    </row>
    <row r="768" spans="1:4" ht="15.95">
      <c r="A768" s="5" t="s">
        <v>90</v>
      </c>
      <c r="B768" s="1" t="s">
        <v>91</v>
      </c>
      <c r="C768">
        <v>190</v>
      </c>
    </row>
    <row r="769" spans="1:3" ht="15.95">
      <c r="A769" s="5" t="s">
        <v>90</v>
      </c>
      <c r="B769" s="1" t="s">
        <v>91</v>
      </c>
      <c r="C769">
        <v>210</v>
      </c>
    </row>
    <row r="770" spans="1:3" ht="15.95">
      <c r="A770" s="5" t="s">
        <v>90</v>
      </c>
      <c r="B770" s="1" t="s">
        <v>91</v>
      </c>
      <c r="C770">
        <v>220</v>
      </c>
    </row>
    <row r="771" spans="1:3" ht="15.95">
      <c r="A771" s="5" t="s">
        <v>90</v>
      </c>
      <c r="B771" s="1" t="s">
        <v>91</v>
      </c>
      <c r="C771">
        <v>230</v>
      </c>
    </row>
    <row r="772" spans="1:3" ht="15.95">
      <c r="A772" s="5" t="s">
        <v>90</v>
      </c>
      <c r="B772" s="1" t="s">
        <v>91</v>
      </c>
      <c r="C772">
        <v>240</v>
      </c>
    </row>
    <row r="773" spans="1:3" ht="15.95">
      <c r="A773" s="5" t="s">
        <v>90</v>
      </c>
      <c r="B773" s="1" t="s">
        <v>91</v>
      </c>
      <c r="C773">
        <v>250</v>
      </c>
    </row>
    <row r="774" spans="1:3" ht="15.95">
      <c r="A774" s="5" t="s">
        <v>90</v>
      </c>
      <c r="B774" s="1" t="s">
        <v>91</v>
      </c>
      <c r="C774">
        <v>260</v>
      </c>
    </row>
    <row r="775" spans="1:3" ht="15.95">
      <c r="A775" s="5" t="s">
        <v>90</v>
      </c>
      <c r="B775" s="1" t="s">
        <v>91</v>
      </c>
      <c r="C775">
        <v>270</v>
      </c>
    </row>
    <row r="776" spans="1:3" ht="15.95">
      <c r="A776" s="5" t="s">
        <v>90</v>
      </c>
      <c r="B776" s="1" t="s">
        <v>91</v>
      </c>
      <c r="C776">
        <v>280</v>
      </c>
    </row>
    <row r="777" spans="1:3" ht="15.95">
      <c r="A777" s="5" t="s">
        <v>90</v>
      </c>
      <c r="B777" s="1" t="s">
        <v>91</v>
      </c>
      <c r="C777">
        <v>290</v>
      </c>
    </row>
    <row r="778" spans="1:3" ht="15.95">
      <c r="A778" s="5" t="s">
        <v>90</v>
      </c>
      <c r="B778" s="1" t="s">
        <v>91</v>
      </c>
      <c r="C778">
        <v>300</v>
      </c>
    </row>
    <row r="779" spans="1:3" ht="15.95">
      <c r="A779" s="5" t="s">
        <v>90</v>
      </c>
      <c r="B779" s="1" t="s">
        <v>91</v>
      </c>
      <c r="C779">
        <v>310</v>
      </c>
    </row>
    <row r="780" spans="1:3" ht="15.95">
      <c r="A780" s="5" t="s">
        <v>90</v>
      </c>
      <c r="B780" s="1" t="s">
        <v>91</v>
      </c>
      <c r="C780">
        <v>320</v>
      </c>
    </row>
    <row r="781" spans="1:3" ht="15.95">
      <c r="A781" s="5" t="s">
        <v>90</v>
      </c>
      <c r="B781" s="1" t="s">
        <v>91</v>
      </c>
      <c r="C781">
        <v>330</v>
      </c>
    </row>
    <row r="783" spans="1:3" ht="15.95">
      <c r="A783" s="4" t="s">
        <v>90</v>
      </c>
      <c r="B783" t="s">
        <v>92</v>
      </c>
      <c r="C783">
        <v>0</v>
      </c>
    </row>
    <row r="784" spans="1:3" ht="15.95">
      <c r="A784" s="4" t="s">
        <v>90</v>
      </c>
      <c r="B784" t="s">
        <v>92</v>
      </c>
      <c r="C784">
        <v>10</v>
      </c>
    </row>
    <row r="785" spans="1:3" ht="15.95">
      <c r="A785" s="4" t="s">
        <v>90</v>
      </c>
      <c r="B785" t="s">
        <v>92</v>
      </c>
      <c r="C785">
        <v>20</v>
      </c>
    </row>
    <row r="786" spans="1:3" ht="15.95">
      <c r="A786" s="4" t="s">
        <v>90</v>
      </c>
      <c r="B786" t="s">
        <v>92</v>
      </c>
      <c r="C786">
        <v>30</v>
      </c>
    </row>
    <row r="787" spans="1:3" ht="15.95">
      <c r="A787" s="4" t="s">
        <v>90</v>
      </c>
      <c r="B787" t="s">
        <v>92</v>
      </c>
      <c r="C787">
        <v>40</v>
      </c>
    </row>
    <row r="788" spans="1:3" ht="15.95">
      <c r="A788" s="4" t="s">
        <v>90</v>
      </c>
      <c r="B788" t="s">
        <v>92</v>
      </c>
      <c r="C788">
        <v>50</v>
      </c>
    </row>
    <row r="789" spans="1:3" ht="15.95">
      <c r="A789" s="4" t="s">
        <v>90</v>
      </c>
      <c r="B789" t="s">
        <v>92</v>
      </c>
      <c r="C789">
        <v>60</v>
      </c>
    </row>
    <row r="790" spans="1:3" ht="15.95">
      <c r="A790" s="4" t="s">
        <v>90</v>
      </c>
      <c r="B790" t="s">
        <v>92</v>
      </c>
      <c r="C790">
        <v>70</v>
      </c>
    </row>
    <row r="791" spans="1:3" ht="15.95">
      <c r="A791" s="4" t="s">
        <v>90</v>
      </c>
      <c r="B791" t="s">
        <v>92</v>
      </c>
      <c r="C791">
        <v>80</v>
      </c>
    </row>
    <row r="792" spans="1:3" ht="15.95">
      <c r="A792" s="4" t="s">
        <v>90</v>
      </c>
      <c r="B792" t="s">
        <v>92</v>
      </c>
      <c r="C792">
        <v>100</v>
      </c>
    </row>
    <row r="793" spans="1:3" ht="15.95">
      <c r="A793" s="4" t="s">
        <v>90</v>
      </c>
      <c r="B793" t="s">
        <v>92</v>
      </c>
      <c r="C793">
        <v>110</v>
      </c>
    </row>
    <row r="794" spans="1:3" ht="15.95">
      <c r="A794" s="4" t="s">
        <v>90</v>
      </c>
      <c r="B794" t="s">
        <v>92</v>
      </c>
      <c r="C794">
        <v>120</v>
      </c>
    </row>
    <row r="795" spans="1:3" ht="15.95">
      <c r="A795" s="4" t="s">
        <v>90</v>
      </c>
      <c r="B795" t="s">
        <v>92</v>
      </c>
      <c r="C795">
        <v>130</v>
      </c>
    </row>
    <row r="796" spans="1:3" ht="15.95">
      <c r="A796" s="4" t="s">
        <v>90</v>
      </c>
      <c r="B796" t="s">
        <v>92</v>
      </c>
      <c r="C796">
        <v>140</v>
      </c>
    </row>
    <row r="797" spans="1:3" ht="15.95">
      <c r="A797" s="4" t="s">
        <v>90</v>
      </c>
      <c r="B797" t="s">
        <v>92</v>
      </c>
      <c r="C797">
        <v>150</v>
      </c>
    </row>
    <row r="798" spans="1:3" ht="15.95">
      <c r="A798" s="4" t="s">
        <v>90</v>
      </c>
      <c r="B798" t="s">
        <v>92</v>
      </c>
      <c r="C798">
        <v>160</v>
      </c>
    </row>
    <row r="799" spans="1:3" ht="15.95">
      <c r="A799" s="4" t="s">
        <v>90</v>
      </c>
      <c r="B799" t="s">
        <v>92</v>
      </c>
      <c r="C799">
        <v>170</v>
      </c>
    </row>
    <row r="800" spans="1:3" ht="15.95">
      <c r="A800" s="4" t="s">
        <v>90</v>
      </c>
      <c r="B800" t="s">
        <v>92</v>
      </c>
      <c r="C800">
        <v>180</v>
      </c>
    </row>
    <row r="801" spans="1:4" ht="15.95">
      <c r="A801" s="4" t="s">
        <v>90</v>
      </c>
      <c r="B801" t="s">
        <v>92</v>
      </c>
      <c r="C801">
        <v>190</v>
      </c>
    </row>
    <row r="802" spans="1:4" ht="15.95">
      <c r="A802" s="4" t="s">
        <v>90</v>
      </c>
      <c r="B802" t="s">
        <v>92</v>
      </c>
      <c r="C802">
        <v>200</v>
      </c>
    </row>
    <row r="803" spans="1:4" ht="15.95">
      <c r="A803" s="4" t="s">
        <v>90</v>
      </c>
      <c r="B803" t="s">
        <v>92</v>
      </c>
      <c r="C803">
        <v>210</v>
      </c>
    </row>
    <row r="804" spans="1:4" ht="15.95">
      <c r="A804" s="4" t="s">
        <v>90</v>
      </c>
      <c r="B804" t="s">
        <v>92</v>
      </c>
      <c r="C804">
        <v>230</v>
      </c>
    </row>
    <row r="805" spans="1:4" ht="15.95">
      <c r="A805" s="4" t="s">
        <v>90</v>
      </c>
      <c r="B805" t="s">
        <v>92</v>
      </c>
      <c r="C805">
        <v>240</v>
      </c>
    </row>
    <row r="806" spans="1:4" ht="15.95">
      <c r="A806" s="4" t="s">
        <v>90</v>
      </c>
      <c r="B806" t="s">
        <v>92</v>
      </c>
      <c r="C806">
        <v>250</v>
      </c>
    </row>
    <row r="807" spans="1:4" ht="15.95">
      <c r="A807" s="4" t="s">
        <v>90</v>
      </c>
      <c r="B807" t="s">
        <v>92</v>
      </c>
      <c r="C807">
        <v>260</v>
      </c>
    </row>
    <row r="808" spans="1:4" ht="15.95">
      <c r="A808" s="4" t="s">
        <v>90</v>
      </c>
      <c r="B808" t="s">
        <v>92</v>
      </c>
      <c r="C808">
        <v>290</v>
      </c>
    </row>
    <row r="809" spans="1:4" ht="15.95">
      <c r="A809" s="4" t="s">
        <v>90</v>
      </c>
      <c r="B809" t="s">
        <v>92</v>
      </c>
      <c r="C809">
        <v>300</v>
      </c>
    </row>
    <row r="810" spans="1:4" ht="15.95">
      <c r="A810" s="4" t="s">
        <v>90</v>
      </c>
      <c r="B810" t="s">
        <v>92</v>
      </c>
      <c r="C810">
        <v>310</v>
      </c>
    </row>
    <row r="811" spans="1:4" ht="15.95">
      <c r="A811" s="4" t="s">
        <v>90</v>
      </c>
      <c r="B811" t="s">
        <v>92</v>
      </c>
      <c r="C811">
        <v>320</v>
      </c>
    </row>
    <row r="812" spans="1:4" ht="15.95">
      <c r="A812" s="4" t="s">
        <v>90</v>
      </c>
      <c r="B812" t="s">
        <v>92</v>
      </c>
      <c r="C812">
        <v>330</v>
      </c>
    </row>
    <row r="814" spans="1:4" ht="15.95">
      <c r="A814" s="5" t="s">
        <v>93</v>
      </c>
      <c r="B814" s="1" t="s">
        <v>94</v>
      </c>
      <c r="C814">
        <v>0</v>
      </c>
      <c r="D814" t="s">
        <v>51</v>
      </c>
    </row>
    <row r="815" spans="1:4" ht="15.95">
      <c r="A815" s="5" t="s">
        <v>93</v>
      </c>
      <c r="B815" s="1" t="s">
        <v>94</v>
      </c>
      <c r="C815">
        <v>10</v>
      </c>
      <c r="D815" t="s">
        <v>51</v>
      </c>
    </row>
    <row r="816" spans="1:4" ht="15.95">
      <c r="A816" s="5" t="s">
        <v>93</v>
      </c>
      <c r="B816" s="1" t="s">
        <v>94</v>
      </c>
      <c r="C816">
        <v>40</v>
      </c>
      <c r="D816" t="s">
        <v>51</v>
      </c>
    </row>
    <row r="817" spans="1:4" ht="15.95">
      <c r="A817" s="5" t="s">
        <v>93</v>
      </c>
      <c r="B817" s="1" t="s">
        <v>94</v>
      </c>
      <c r="C817">
        <v>50</v>
      </c>
      <c r="D817" t="s">
        <v>51</v>
      </c>
    </row>
    <row r="818" spans="1:4" ht="15.95">
      <c r="A818" s="5" t="s">
        <v>93</v>
      </c>
      <c r="B818" s="1" t="s">
        <v>94</v>
      </c>
      <c r="C818">
        <v>70</v>
      </c>
      <c r="D818" t="s">
        <v>51</v>
      </c>
    </row>
    <row r="819" spans="1:4" ht="15.95">
      <c r="A819" s="5" t="s">
        <v>93</v>
      </c>
      <c r="B819" s="1" t="s">
        <v>94</v>
      </c>
      <c r="C819">
        <v>100</v>
      </c>
    </row>
    <row r="820" spans="1:4" ht="15.95">
      <c r="A820" s="5" t="s">
        <v>93</v>
      </c>
      <c r="B820" s="1" t="s">
        <v>94</v>
      </c>
      <c r="C820">
        <v>110</v>
      </c>
    </row>
    <row r="821" spans="1:4" ht="15.95">
      <c r="A821" s="5" t="s">
        <v>93</v>
      </c>
      <c r="B821" s="1" t="s">
        <v>94</v>
      </c>
      <c r="C821">
        <v>120</v>
      </c>
    </row>
    <row r="822" spans="1:4" ht="15.95">
      <c r="A822" s="5" t="s">
        <v>93</v>
      </c>
      <c r="B822" s="1" t="s">
        <v>94</v>
      </c>
      <c r="C822">
        <v>130</v>
      </c>
    </row>
    <row r="823" spans="1:4" ht="15.95">
      <c r="A823" s="5" t="s">
        <v>93</v>
      </c>
      <c r="B823" s="1" t="s">
        <v>94</v>
      </c>
      <c r="C823">
        <v>180</v>
      </c>
    </row>
    <row r="824" spans="1:4" ht="15.95">
      <c r="A824" s="5" t="s">
        <v>93</v>
      </c>
      <c r="B824" s="1" t="s">
        <v>94</v>
      </c>
      <c r="C824">
        <v>190</v>
      </c>
    </row>
    <row r="825" spans="1:4" ht="15.95">
      <c r="A825" s="5" t="s">
        <v>93</v>
      </c>
      <c r="B825" s="1" t="s">
        <v>94</v>
      </c>
      <c r="C825">
        <v>200</v>
      </c>
    </row>
    <row r="826" spans="1:4" ht="15.95">
      <c r="A826" s="5" t="s">
        <v>93</v>
      </c>
      <c r="B826" s="1" t="s">
        <v>94</v>
      </c>
      <c r="C826">
        <v>210</v>
      </c>
    </row>
    <row r="827" spans="1:4" ht="15.95">
      <c r="A827" s="5" t="s">
        <v>93</v>
      </c>
      <c r="B827" s="1" t="s">
        <v>94</v>
      </c>
      <c r="C827">
        <v>220</v>
      </c>
    </row>
    <row r="828" spans="1:4" ht="15.95">
      <c r="A828" s="5" t="s">
        <v>93</v>
      </c>
      <c r="B828" s="1" t="s">
        <v>94</v>
      </c>
      <c r="C828">
        <v>230</v>
      </c>
    </row>
    <row r="829" spans="1:4" ht="15.95">
      <c r="A829" s="5" t="s">
        <v>93</v>
      </c>
      <c r="B829" s="1" t="s">
        <v>94</v>
      </c>
      <c r="C829">
        <v>240</v>
      </c>
    </row>
    <row r="830" spans="1:4" ht="15.95">
      <c r="A830" s="5" t="s">
        <v>93</v>
      </c>
      <c r="B830" s="1" t="s">
        <v>94</v>
      </c>
      <c r="C830">
        <v>260</v>
      </c>
    </row>
    <row r="831" spans="1:4" ht="15.95">
      <c r="A831" s="5" t="s">
        <v>93</v>
      </c>
      <c r="B831" s="1" t="s">
        <v>94</v>
      </c>
      <c r="C831">
        <v>270</v>
      </c>
    </row>
    <row r="832" spans="1:4" ht="15.95">
      <c r="A832" s="5" t="s">
        <v>93</v>
      </c>
      <c r="B832" s="1" t="s">
        <v>94</v>
      </c>
      <c r="C832">
        <v>280</v>
      </c>
    </row>
    <row r="833" spans="1:4" ht="15.95">
      <c r="A833" s="5" t="s">
        <v>93</v>
      </c>
      <c r="B833" s="1" t="s">
        <v>94</v>
      </c>
      <c r="C833">
        <v>290</v>
      </c>
    </row>
    <row r="834" spans="1:4" ht="15.95">
      <c r="A834" s="5" t="s">
        <v>93</v>
      </c>
      <c r="B834" s="1" t="s">
        <v>94</v>
      </c>
      <c r="C834">
        <v>300</v>
      </c>
    </row>
    <row r="836" spans="1:4" ht="15.95">
      <c r="A836" s="4" t="s">
        <v>93</v>
      </c>
      <c r="B836" t="s">
        <v>96</v>
      </c>
      <c r="C836" s="7">
        <v>10</v>
      </c>
      <c r="D836" s="7"/>
    </row>
    <row r="837" spans="1:4" ht="15.95">
      <c r="A837" s="4" t="s">
        <v>93</v>
      </c>
      <c r="B837" t="s">
        <v>96</v>
      </c>
      <c r="C837" s="7">
        <v>30</v>
      </c>
      <c r="D837" s="7"/>
    </row>
    <row r="838" spans="1:4" ht="15.95">
      <c r="A838" s="4" t="s">
        <v>93</v>
      </c>
      <c r="B838" t="s">
        <v>96</v>
      </c>
      <c r="C838" s="7">
        <v>60</v>
      </c>
      <c r="D838" s="7"/>
    </row>
    <row r="839" spans="1:4" ht="15.95">
      <c r="A839" s="4" t="s">
        <v>93</v>
      </c>
      <c r="B839" t="s">
        <v>96</v>
      </c>
      <c r="C839" s="7">
        <v>80</v>
      </c>
      <c r="D839" s="7"/>
    </row>
    <row r="840" spans="1:4" ht="15.95">
      <c r="A840" s="4" t="s">
        <v>93</v>
      </c>
      <c r="B840" t="s">
        <v>96</v>
      </c>
      <c r="C840" s="7">
        <v>90</v>
      </c>
      <c r="D840" s="7"/>
    </row>
    <row r="841" spans="1:4" ht="15.95">
      <c r="A841" s="4" t="s">
        <v>93</v>
      </c>
      <c r="B841" t="s">
        <v>96</v>
      </c>
      <c r="C841" s="7">
        <v>100</v>
      </c>
      <c r="D841" s="7"/>
    </row>
    <row r="842" spans="1:4" ht="15.95">
      <c r="A842" s="4" t="s">
        <v>93</v>
      </c>
      <c r="B842" t="s">
        <v>96</v>
      </c>
      <c r="C842" s="7">
        <v>110</v>
      </c>
      <c r="D842" s="7"/>
    </row>
    <row r="843" spans="1:4" ht="15.95">
      <c r="A843" s="4" t="s">
        <v>93</v>
      </c>
      <c r="B843" t="s">
        <v>96</v>
      </c>
      <c r="C843" s="7">
        <v>120</v>
      </c>
      <c r="D843" s="7"/>
    </row>
    <row r="844" spans="1:4" ht="15.95">
      <c r="A844" s="4" t="s">
        <v>93</v>
      </c>
      <c r="B844" t="s">
        <v>96</v>
      </c>
      <c r="C844" s="7">
        <v>130</v>
      </c>
      <c r="D844" s="7"/>
    </row>
    <row r="845" spans="1:4" ht="15.95">
      <c r="A845" s="4" t="s">
        <v>93</v>
      </c>
      <c r="B845" t="s">
        <v>96</v>
      </c>
      <c r="C845" s="7">
        <v>150</v>
      </c>
      <c r="D845" s="7"/>
    </row>
    <row r="846" spans="1:4" ht="15.95">
      <c r="A846" s="4" t="s">
        <v>93</v>
      </c>
      <c r="B846" t="s">
        <v>96</v>
      </c>
      <c r="C846" s="7">
        <v>160</v>
      </c>
      <c r="D846" s="7"/>
    </row>
    <row r="847" spans="1:4" ht="15.95">
      <c r="A847" s="4" t="s">
        <v>93</v>
      </c>
      <c r="B847" t="s">
        <v>96</v>
      </c>
      <c r="C847" s="7">
        <v>170</v>
      </c>
      <c r="D847" s="7"/>
    </row>
    <row r="848" spans="1:4" ht="15.95">
      <c r="A848" s="4" t="s">
        <v>93</v>
      </c>
      <c r="B848" t="s">
        <v>96</v>
      </c>
      <c r="C848" s="7">
        <v>180</v>
      </c>
      <c r="D848" s="7"/>
    </row>
    <row r="849" spans="1:4" ht="15.95">
      <c r="A849" s="4" t="s">
        <v>93</v>
      </c>
      <c r="B849" t="s">
        <v>96</v>
      </c>
      <c r="C849" s="7">
        <v>190</v>
      </c>
      <c r="D849" s="7"/>
    </row>
    <row r="850" spans="1:4" ht="15.95">
      <c r="A850" s="4" t="s">
        <v>93</v>
      </c>
      <c r="B850" t="s">
        <v>96</v>
      </c>
      <c r="C850" s="7">
        <v>200</v>
      </c>
      <c r="D850" s="7"/>
    </row>
    <row r="851" spans="1:4" ht="15.95">
      <c r="A851" s="4" t="s">
        <v>93</v>
      </c>
      <c r="B851" t="s">
        <v>96</v>
      </c>
      <c r="C851" s="7">
        <v>210</v>
      </c>
      <c r="D851" s="7"/>
    </row>
    <row r="852" spans="1:4" ht="15.95">
      <c r="A852" s="4" t="s">
        <v>93</v>
      </c>
      <c r="B852" t="s">
        <v>96</v>
      </c>
      <c r="C852" s="7">
        <v>220</v>
      </c>
      <c r="D852" s="7"/>
    </row>
    <row r="853" spans="1:4" ht="15.95">
      <c r="A853" s="4" t="s">
        <v>93</v>
      </c>
      <c r="B853" t="s">
        <v>96</v>
      </c>
      <c r="C853" s="7">
        <v>250</v>
      </c>
      <c r="D853" s="7"/>
    </row>
    <row r="854" spans="1:4" ht="15.95">
      <c r="A854" s="4" t="s">
        <v>93</v>
      </c>
      <c r="B854" t="s">
        <v>96</v>
      </c>
      <c r="C854" s="7">
        <v>260</v>
      </c>
      <c r="D854" s="7"/>
    </row>
    <row r="855" spans="1:4" ht="15.95">
      <c r="A855" s="4" t="s">
        <v>93</v>
      </c>
      <c r="B855" t="s">
        <v>96</v>
      </c>
      <c r="C855" s="7">
        <v>270</v>
      </c>
      <c r="D855" s="7"/>
    </row>
    <row r="856" spans="1:4" ht="15.95">
      <c r="A856" s="4" t="s">
        <v>93</v>
      </c>
      <c r="B856" t="s">
        <v>96</v>
      </c>
      <c r="C856" s="7">
        <v>280</v>
      </c>
      <c r="D856" s="7"/>
    </row>
    <row r="857" spans="1:4" ht="15.95">
      <c r="A857" s="4" t="s">
        <v>93</v>
      </c>
      <c r="B857" t="s">
        <v>96</v>
      </c>
      <c r="C857" s="7">
        <v>290</v>
      </c>
      <c r="D857" s="7"/>
    </row>
    <row r="858" spans="1:4" ht="15.95">
      <c r="A858" s="4" t="s">
        <v>93</v>
      </c>
      <c r="B858" t="s">
        <v>96</v>
      </c>
      <c r="C858" s="7">
        <v>300</v>
      </c>
      <c r="D858" s="7"/>
    </row>
    <row r="859" spans="1:4" ht="15.95">
      <c r="A859" s="4" t="s">
        <v>93</v>
      </c>
      <c r="B859" t="s">
        <v>96</v>
      </c>
      <c r="C859" s="7">
        <v>310</v>
      </c>
      <c r="D859" s="7"/>
    </row>
    <row r="860" spans="1:4" ht="15.95">
      <c r="A860" s="4" t="s">
        <v>93</v>
      </c>
      <c r="B860" t="s">
        <v>96</v>
      </c>
      <c r="C860" s="7">
        <v>320</v>
      </c>
      <c r="D860" s="7"/>
    </row>
    <row r="861" spans="1:4" ht="15.95">
      <c r="A861" s="4" t="s">
        <v>93</v>
      </c>
      <c r="B861" t="s">
        <v>96</v>
      </c>
      <c r="C861" s="7">
        <v>330</v>
      </c>
      <c r="D861" s="7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4928-4D5A-764D-B414-2FDD43719208}">
  <dimension ref="A1:E36"/>
  <sheetViews>
    <sheetView topLeftCell="A20" zoomScale="125" workbookViewId="0">
      <selection activeCell="B3" sqref="B3"/>
    </sheetView>
  </sheetViews>
  <sheetFormatPr defaultColWidth="11" defaultRowHeight="15.95"/>
  <cols>
    <col min="2" max="2" width="70.5" bestFit="1" customWidth="1"/>
    <col min="5" max="5" width="36" bestFit="1" customWidth="1"/>
  </cols>
  <sheetData>
    <row r="1" spans="1:5">
      <c r="A1" t="s">
        <v>193</v>
      </c>
    </row>
    <row r="2" spans="1:5">
      <c r="B2" t="s">
        <v>194</v>
      </c>
    </row>
    <row r="3" spans="1:5">
      <c r="B3" t="s">
        <v>195</v>
      </c>
    </row>
    <row r="4" spans="1:5" ht="32.25">
      <c r="B4" s="3" t="s">
        <v>100</v>
      </c>
      <c r="C4" s="1" t="s">
        <v>126</v>
      </c>
      <c r="D4">
        <v>1390</v>
      </c>
      <c r="E4" s="13" t="s">
        <v>196</v>
      </c>
    </row>
    <row r="8" spans="1:5">
      <c r="B8" t="s">
        <v>197</v>
      </c>
    </row>
    <row r="9" spans="1:5">
      <c r="B9" t="s">
        <v>198</v>
      </c>
    </row>
    <row r="20" spans="2:3">
      <c r="B20" t="s">
        <v>199</v>
      </c>
    </row>
    <row r="27" spans="2:3">
      <c r="B27" t="s">
        <v>200</v>
      </c>
    </row>
    <row r="30" spans="2:3">
      <c r="B30" t="s">
        <v>18</v>
      </c>
    </row>
    <row r="31" spans="2:3">
      <c r="C31" t="s">
        <v>201</v>
      </c>
    </row>
    <row r="32" spans="2:3">
      <c r="B32" t="s">
        <v>202</v>
      </c>
    </row>
    <row r="34" spans="2:2">
      <c r="B34" t="s">
        <v>203</v>
      </c>
    </row>
    <row r="36" spans="2:2">
      <c r="B36" t="s">
        <v>204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Ziyad Khatab</dc:creator>
  <cp:keywords/>
  <dc:description/>
  <cp:lastModifiedBy>Liu, Zhaoxun</cp:lastModifiedBy>
  <cp:revision/>
  <dcterms:created xsi:type="dcterms:W3CDTF">2025-04-23T18:55:16Z</dcterms:created>
  <dcterms:modified xsi:type="dcterms:W3CDTF">2025-11-03T20:56:29Z</dcterms:modified>
  <cp:category/>
  <cp:contentStatus/>
</cp:coreProperties>
</file>